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8092069-my.sharepoint.com/personal/don_mishory_tmtctech_ai/Documents/VS Code Projects/Options Analyzer/options-analyzer/requirements/"/>
    </mc:Choice>
  </mc:AlternateContent>
  <xr:revisionPtr revIDLastSave="732" documentId="8_{3B8BABD1-2E5D-4AB0-B5D7-A648664C1C84}" xr6:coauthVersionLast="47" xr6:coauthVersionMax="47" xr10:uidLastSave="{5B6C811E-DEF5-498B-9B11-49802A425BB4}"/>
  <bookViews>
    <workbookView xWindow="29210" yWindow="2230" windowWidth="25470" windowHeight="18440" xr2:uid="{91813770-A800-41FD-87EF-8D99B1C113AB}"/>
  </bookViews>
  <sheets>
    <sheet name="Sheet1" sheetId="1" r:id="rId1"/>
    <sheet name="Width Configu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" i="1" l="1"/>
  <c r="R3" i="1"/>
  <c r="N3" i="1"/>
  <c r="J3" i="1"/>
</calcChain>
</file>

<file path=xl/sharedStrings.xml><?xml version="1.0" encoding="utf-8"?>
<sst xmlns="http://schemas.openxmlformats.org/spreadsheetml/2006/main" count="547" uniqueCount="147">
  <si>
    <t>Rule</t>
  </si>
  <si>
    <t>Threshold</t>
  </si>
  <si>
    <t>Category</t>
  </si>
  <si>
    <t>Low</t>
  </si>
  <si>
    <t>High</t>
  </si>
  <si>
    <t>Weight</t>
  </si>
  <si>
    <t>Stready Paycheck</t>
  </si>
  <si>
    <t>Weekly Grind</t>
  </si>
  <si>
    <t>Lottery Ticket</t>
  </si>
  <si>
    <t>Universal Pre-Filter</t>
  </si>
  <si>
    <t>Underlying Price Floor</t>
  </si>
  <si>
    <t>Per leg bid/ask spread</t>
  </si>
  <si>
    <t>Formula</t>
  </si>
  <si>
    <t>Description</t>
  </si>
  <si>
    <t>Type</t>
  </si>
  <si>
    <t>Condition</t>
  </si>
  <si>
    <t>ACCEPT IF (stock_price) is BETWEEN</t>
  </si>
  <si>
    <t>Trade Type</t>
  </si>
  <si>
    <t>BULL_PUT_CREDIT</t>
  </si>
  <si>
    <t>Y</t>
  </si>
  <si>
    <t>BEAR_CALL_CREDIT</t>
  </si>
  <si>
    <t>BULL_CALL_DEBIT</t>
  </si>
  <si>
    <t>BEAR_PUT_DEBIT</t>
  </si>
  <si>
    <t>LONG_CALL</t>
  </si>
  <si>
    <t>LONG_PUT</t>
  </si>
  <si>
    <t>N</t>
  </si>
  <si>
    <t>Trend Rider</t>
  </si>
  <si>
    <t>IRON_CONDOR</t>
  </si>
  <si>
    <t>Per-Strategy Rule</t>
  </si>
  <si>
    <t>DTE Window</t>
  </si>
  <si>
    <t>Credit % of width</t>
  </si>
  <si>
    <t>Debit % of width</t>
  </si>
  <si>
    <t>ACCEPT IF (spread) is BETWEEN</t>
  </si>
  <si>
    <t>ACCEPT IF (DTE Window) is BETWEEN</t>
  </si>
  <si>
    <t>ACCEPT IF (credit/spread_width) is BETWEEN</t>
  </si>
  <si>
    <t>ACCEPT IF (debit/spread_width) is BETWEEN</t>
  </si>
  <si>
    <t>Binary Choice</t>
  </si>
  <si>
    <t>Include</t>
  </si>
  <si>
    <t>Rule Type</t>
  </si>
  <si>
    <t>Hard Gate</t>
  </si>
  <si>
    <t>Soft Gate</t>
  </si>
  <si>
    <t>Score Impact</t>
  </si>
  <si>
    <t>Stock Extended Against Entry</t>
  </si>
  <si>
    <t>REDUCE SCORE BY 10 IF (abs(spot - SMA_50)/SMA_50)</t>
  </si>
  <si>
    <t>Stock Extended in Trade Direction</t>
  </si>
  <si>
    <t>Require Credit Spread Structure</t>
  </si>
  <si>
    <t>Require Directional Debit Spread</t>
  </si>
  <si>
    <t>Scoring Criteria</t>
  </si>
  <si>
    <t>Weight Factor</t>
  </si>
  <si>
    <t>Probability of Profit</t>
  </si>
  <si>
    <t>Black Scholes</t>
  </si>
  <si>
    <t>Expected Value</t>
  </si>
  <si>
    <t>Reward Risk</t>
  </si>
  <si>
    <t>IV Rank</t>
  </si>
  <si>
    <t>Theta Gamma Ratio</t>
  </si>
  <si>
    <t>Theta Margin Ratio</t>
  </si>
  <si>
    <t>Credit Width %</t>
  </si>
  <si>
    <t>Liquidity</t>
  </si>
  <si>
    <t>SMA Alignment Score</t>
  </si>
  <si>
    <t>Delta Quality</t>
  </si>
  <si>
    <t>TBD</t>
  </si>
  <si>
    <t>IV Percentile Cost</t>
  </si>
  <si>
    <t>Runway Score</t>
  </si>
  <si>
    <t>Payout Ratio</t>
  </si>
  <si>
    <t>Delta OTM Score</t>
  </si>
  <si>
    <t>Bid Ask Tightness</t>
  </si>
  <si>
    <t>Open Interest</t>
  </si>
  <si>
    <t>Data Tier</t>
  </si>
  <si>
    <t>RAW</t>
  </si>
  <si>
    <t>DERIVED</t>
  </si>
  <si>
    <t>COMPUTED</t>
  </si>
  <si>
    <t>Days until next earnings</t>
  </si>
  <si>
    <t>ACCEPT IF (next_earnings_date - today()) BETWEEN low AND high</t>
  </si>
  <si>
    <t>Earnings buffer past expiry</t>
  </si>
  <si>
    <t>ACCEPT IF (next_earnings_date - expiry_date) BETWEEN low AND high</t>
  </si>
  <si>
    <t>Per leg open interest floor</t>
  </si>
  <si>
    <t>ACCEPT IF (min_leg_OI) &gt;= threshold</t>
  </si>
  <si>
    <t>Per leg volume floor</t>
  </si>
  <si>
    <t>ACCEPT IF (min_leg_volume) &gt;= threshold</t>
  </si>
  <si>
    <t>Maximum DTE</t>
  </si>
  <si>
    <t>ACCEPT IF DTE &lt;= threshold</t>
  </si>
  <si>
    <t>Minimum DTE</t>
  </si>
  <si>
    <t>ACCEPT IF DTE &gt;= threshold</t>
  </si>
  <si>
    <t>Data completeness — IV Rank</t>
  </si>
  <si>
    <t>ACCEPT IF IV_rank IS NOT NULL</t>
  </si>
  <si>
    <t>N/A</t>
  </si>
  <si>
    <t>Data completeness — Delta</t>
  </si>
  <si>
    <t>ACCEPT IF delta IS NOT NULL</t>
  </si>
  <si>
    <t>Data completeness — ATR_14</t>
  </si>
  <si>
    <t>ACCEPT IF ATR_14 IS NOT NULL</t>
  </si>
  <si>
    <t>Total expected value</t>
  </si>
  <si>
    <t>ACCEPT IF total_EV &gt;= threshold</t>
  </si>
  <si>
    <t>Cushion % of price</t>
  </si>
  <si>
    <t>ACCEPT IF (abs(spot - short_strike) / spot) &gt;= threshold</t>
  </si>
  <si>
    <t>Cushion vs ATR</t>
  </si>
  <si>
    <t>ACCEPT IF (abs(spot - short_strike) / ATR_14) &gt;= threshold</t>
  </si>
  <si>
    <t>Theta load fraction</t>
  </si>
  <si>
    <t>ACCEPT IF (theta_total_over_trade / debit) &lt;= threshold</t>
  </si>
  <si>
    <t>Chart state confirms direction</t>
  </si>
  <si>
    <t>ACCEPT IF chart_state IN {Bullish Alignment, Bearish Alignment} matching trade direction</t>
  </si>
  <si>
    <t>Spread width tier compliance</t>
  </si>
  <si>
    <t>ACCEPT IF spread_width IS WITHIN tier_min AND tier_max (from Width Configuration sheet)</t>
  </si>
  <si>
    <t>lookup</t>
  </si>
  <si>
    <t>Pattern: Rules below may also appear as Hard Gates above. This is intentional layering — the Hard Gate enforces a minimum floor for eligibility; the Scoring Criterion scales within the eligible pool (more = higher score). Do not consolidate.</t>
  </si>
  <si>
    <t>POST-SCORING ADJUSTMENTS</t>
  </si>
  <si>
    <t>Post-Scoring</t>
  </si>
  <si>
    <t>Penalty</t>
  </si>
  <si>
    <t>Stock extended in trade direction</t>
  </si>
  <si>
    <t>REDUCE SCORE BY 10 IF (abs(spot - SMA_50) / SMA_50) &gt; threshold AND extension matches trade direction</t>
  </si>
  <si>
    <t>SMA alignment against trade</t>
  </si>
  <si>
    <t>REDUCE SCORE BY 15 IF price is positioned against the trade direction across all 3 SMAs</t>
  </si>
  <si>
    <t>Mixed chart signal on directional strategy</t>
  </si>
  <si>
    <t>REDUCE SCORE BY 25 IF chart_state == "Mixed — No Signal"</t>
  </si>
  <si>
    <t>Cushion barely above ATR floor</t>
  </si>
  <si>
    <t>REDUCE SCORE BY 5 IF cushion_vs_ATR BETWEEN 1.0 AND 1.5</t>
  </si>
  <si>
    <t>Bonus</t>
  </si>
  <si>
    <t>ETF underlying</t>
  </si>
  <si>
    <t>INCREASE SCORE BY 5 IF underlying IS ETF</t>
  </si>
  <si>
    <t>VERDICT BANDS</t>
  </si>
  <si>
    <t>Verdict</t>
  </si>
  <si>
    <t>Score Range</t>
  </si>
  <si>
    <t>EXECUTE</t>
  </si>
  <si>
    <t>score &gt;= 70</t>
  </si>
  <si>
    <t>WAIT</t>
  </si>
  <si>
    <t>50 &lt;= score &lt; 70</t>
  </si>
  <si>
    <t>PASS</t>
  </si>
  <si>
    <t>score &lt; 50</t>
  </si>
  <si>
    <t>Note: Verdict bands are universal — same for all strategies. Applied to the final adjusted score (after post-scoring adjustments).</t>
  </si>
  <si>
    <t>STRATEGY SCAN PARAMETERS</t>
  </si>
  <si>
    <t>Parameter</t>
  </si>
  <si>
    <t>Steady Paycheck</t>
  </si>
  <si>
    <t>Evaluation cap (max trades scored)</t>
  </si>
  <si>
    <t>DTE priority start (days)</t>
  </si>
  <si>
    <t>DTE expansion direction</t>
  </si>
  <si>
    <t>bidirectional</t>
  </si>
  <si>
    <t>shortest-first</t>
  </si>
  <si>
    <t>Output rank cap (max surfaced)</t>
  </si>
  <si>
    <t>Default Widths by Price Tier</t>
  </si>
  <si>
    <t>Price Min</t>
  </si>
  <si>
    <t>Price Max</t>
  </si>
  <si>
    <t>Width Min</t>
  </si>
  <si>
    <t>Width Max</t>
  </si>
  <si>
    <t>Width Increment</t>
  </si>
  <si>
    <t>Per-Security Width Overrides</t>
  </si>
  <si>
    <t>Ticker</t>
  </si>
  <si>
    <t>Note</t>
  </si>
  <si>
    <t>Engine logic (to be implemented): look up ticker in the override table first; if not present, fall back to the default table based on stock price 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</si>
</sst>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BF8F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49">
    <border>
      <left/>
      <right/>
      <top/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medium">
        <color rgb="FF002060"/>
      </right>
      <top style="thin">
        <color rgb="FFE8E8E8"/>
      </top>
      <bottom style="thin">
        <color rgb="FFE8E8E8"/>
      </bottom>
      <diagonal/>
    </border>
    <border>
      <left style="medium">
        <color rgb="FF002060"/>
      </left>
      <right style="thin">
        <color theme="0"/>
      </right>
      <top style="medium">
        <color rgb="FF00206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002060"/>
      </top>
      <bottom style="thin">
        <color theme="0"/>
      </bottom>
      <diagonal/>
    </border>
    <border>
      <left style="thin">
        <color theme="0"/>
      </left>
      <right style="medium">
        <color rgb="FF002060"/>
      </right>
      <top style="medium">
        <color rgb="FF002060"/>
      </top>
      <bottom style="thin">
        <color theme="0"/>
      </bottom>
      <diagonal/>
    </border>
    <border>
      <left style="medium">
        <color rgb="FF002060"/>
      </left>
      <right/>
      <top style="medium">
        <color rgb="FF002060"/>
      </top>
      <bottom style="thin">
        <color theme="0"/>
      </bottom>
      <diagonal/>
    </border>
    <border>
      <left/>
      <right/>
      <top style="medium">
        <color rgb="FF002060"/>
      </top>
      <bottom style="thin">
        <color theme="0"/>
      </bottom>
      <diagonal/>
    </border>
    <border>
      <left/>
      <right style="medium">
        <color rgb="FF002060"/>
      </right>
      <top style="medium">
        <color rgb="FF002060"/>
      </top>
      <bottom style="thin">
        <color theme="0"/>
      </bottom>
      <diagonal/>
    </border>
    <border>
      <left style="medium">
        <color rgb="FF002060"/>
      </left>
      <right style="thin">
        <color theme="0"/>
      </right>
      <top/>
      <bottom style="thin">
        <color rgb="FFE8E8E8"/>
      </bottom>
      <diagonal/>
    </border>
    <border>
      <left style="thin">
        <color theme="0"/>
      </left>
      <right style="thin">
        <color theme="0"/>
      </right>
      <top/>
      <bottom style="thin">
        <color rgb="FFE8E8E8"/>
      </bottom>
      <diagonal/>
    </border>
    <border>
      <left style="thin">
        <color theme="0"/>
      </left>
      <right style="medium">
        <color rgb="FF002060"/>
      </right>
      <top/>
      <bottom style="thin">
        <color rgb="FFE8E8E8"/>
      </bottom>
      <diagonal/>
    </border>
    <border>
      <left style="medium">
        <color rgb="FF00206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2060"/>
      </left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medium">
        <color rgb="FF002060"/>
      </right>
      <top/>
      <bottom style="thin">
        <color rgb="FFE8E8E8"/>
      </bottom>
      <diagonal/>
    </border>
    <border>
      <left style="medium">
        <color rgb="FF002060"/>
      </left>
      <right style="thin">
        <color theme="0"/>
      </right>
      <top style="thin">
        <color rgb="FFE8E8E8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 style="thin">
        <color rgb="FFE8E8E8"/>
      </top>
      <bottom style="medium">
        <color rgb="FF002060"/>
      </bottom>
      <diagonal/>
    </border>
    <border>
      <left style="thin">
        <color theme="0"/>
      </left>
      <right style="medium">
        <color rgb="FF002060"/>
      </right>
      <top style="thin">
        <color rgb="FFE8E8E8"/>
      </top>
      <bottom style="medium">
        <color rgb="FF002060"/>
      </bottom>
      <diagonal/>
    </border>
    <border>
      <left style="medium">
        <color rgb="FF002060"/>
      </left>
      <right style="thin">
        <color theme="0"/>
      </right>
      <top/>
      <bottom style="medium">
        <color rgb="FF002060"/>
      </bottom>
      <diagonal/>
    </border>
    <border>
      <left style="thin">
        <color theme="0"/>
      </left>
      <right style="medium">
        <color rgb="FF002060"/>
      </right>
      <top/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medium">
        <color rgb="FF002060"/>
      </bottom>
      <diagonal/>
    </border>
    <border>
      <left style="medium">
        <color rgb="FF002060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 style="medium">
        <color rgb="FF002060"/>
      </right>
      <top style="thin">
        <color rgb="FFE8E8E8"/>
      </top>
      <bottom/>
      <diagonal/>
    </border>
    <border>
      <left style="medium">
        <color rgb="FF002060"/>
      </left>
      <right style="thin">
        <color rgb="FFE8E8E8"/>
      </right>
      <top style="medium">
        <color theme="5" tint="-0.24994659260841701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medium">
        <color theme="5" tint="-0.24994659260841701"/>
      </top>
      <bottom style="thin">
        <color rgb="FFE8E8E8"/>
      </bottom>
      <diagonal/>
    </border>
    <border>
      <left style="thin">
        <color rgb="FFE8E8E8"/>
      </left>
      <right style="medium">
        <color rgb="FF002060"/>
      </right>
      <top style="medium">
        <color theme="5" tint="-0.24994659260841701"/>
      </top>
      <bottom style="thin">
        <color rgb="FFE8E8E8"/>
      </bottom>
      <diagonal/>
    </border>
    <border>
      <left style="medium">
        <color rgb="FF002060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rgb="FF002060"/>
      </right>
      <top style="medium">
        <color theme="5" tint="-0.24994659260841701"/>
      </top>
      <bottom/>
      <diagonal/>
    </border>
    <border>
      <left style="medium">
        <color rgb="FF002060"/>
      </left>
      <right style="thin">
        <color rgb="FFE8E8E8"/>
      </right>
      <top style="thin">
        <color rgb="FFE8E8E8"/>
      </top>
      <bottom style="medium">
        <color theme="5" tint="-0.24994659260841701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medium">
        <color theme="5" tint="-0.24994659260841701"/>
      </bottom>
      <diagonal/>
    </border>
    <border>
      <left style="thin">
        <color rgb="FFE8E8E8"/>
      </left>
      <right style="medium">
        <color rgb="FF002060"/>
      </right>
      <top style="thin">
        <color rgb="FFE8E8E8"/>
      </top>
      <bottom style="medium">
        <color theme="5" tint="-0.24994659260841701"/>
      </bottom>
      <diagonal/>
    </border>
    <border>
      <left style="medium">
        <color rgb="FF002060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rgb="FF002060"/>
      </right>
      <top/>
      <bottom style="medium">
        <color theme="5" tint="-0.24994659260841701"/>
      </bottom>
      <diagonal/>
    </border>
    <border>
      <left style="thin">
        <color theme="0"/>
      </left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rgb="FF002060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164" fontId="0" fillId="0" borderId="0" xfId="1" applyNumberFormat="1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top"/>
    </xf>
    <xf numFmtId="164" fontId="0" fillId="0" borderId="0" xfId="1" applyNumberFormat="1" applyFont="1" applyBorder="1" applyAlignment="1">
      <alignment vertical="top"/>
    </xf>
    <xf numFmtId="164" fontId="0" fillId="0" borderId="2" xfId="1" applyNumberFormat="1" applyFont="1" applyBorder="1" applyAlignment="1">
      <alignment vertical="top"/>
    </xf>
    <xf numFmtId="43" fontId="0" fillId="0" borderId="0" xfId="1" applyFont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2" borderId="21" xfId="0" applyFill="1" applyBorder="1" applyAlignment="1">
      <alignment vertical="top"/>
    </xf>
    <xf numFmtId="0" fontId="0" fillId="2" borderId="21" xfId="0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0" fillId="4" borderId="23" xfId="0" applyFill="1" applyBorder="1" applyAlignment="1">
      <alignment horizontal="center" vertical="top"/>
    </xf>
    <xf numFmtId="0" fontId="0" fillId="4" borderId="24" xfId="0" applyFill="1" applyBorder="1" applyAlignment="1">
      <alignment horizontal="center" vertical="top"/>
    </xf>
    <xf numFmtId="0" fontId="0" fillId="4" borderId="24" xfId="0" applyFill="1" applyBorder="1" applyAlignment="1">
      <alignment horizontal="center" vertical="top" wrapText="1"/>
    </xf>
    <xf numFmtId="0" fontId="0" fillId="4" borderId="25" xfId="0" applyFill="1" applyBorder="1" applyAlignment="1">
      <alignment horizontal="center" vertical="top" wrapText="1"/>
    </xf>
    <xf numFmtId="0" fontId="0" fillId="4" borderId="26" xfId="0" applyFill="1" applyBorder="1" applyAlignment="1">
      <alignment horizontal="center" vertical="top"/>
    </xf>
    <xf numFmtId="0" fontId="0" fillId="4" borderId="28" xfId="0" applyFill="1" applyBorder="1" applyAlignment="1">
      <alignment horizontal="center" vertical="top"/>
    </xf>
    <xf numFmtId="9" fontId="0" fillId="0" borderId="2" xfId="2" applyFont="1" applyBorder="1" applyAlignment="1">
      <alignment vertical="top"/>
    </xf>
    <xf numFmtId="9" fontId="3" fillId="4" borderId="27" xfId="2" applyFont="1" applyFill="1" applyBorder="1" applyAlignment="1">
      <alignment horizontal="center" vertical="top"/>
    </xf>
    <xf numFmtId="0" fontId="0" fillId="2" borderId="29" xfId="0" applyFill="1" applyBorder="1" applyAlignment="1">
      <alignment vertical="top"/>
    </xf>
    <xf numFmtId="0" fontId="0" fillId="2" borderId="30" xfId="0" applyFill="1" applyBorder="1" applyAlignment="1">
      <alignment vertical="top"/>
    </xf>
    <xf numFmtId="0" fontId="0" fillId="2" borderId="30" xfId="0" applyFill="1" applyBorder="1" applyAlignment="1">
      <alignment vertical="top" wrapText="1"/>
    </xf>
    <xf numFmtId="0" fontId="0" fillId="2" borderId="31" xfId="0" applyFill="1" applyBorder="1" applyAlignment="1">
      <alignment vertical="top" wrapText="1"/>
    </xf>
    <xf numFmtId="0" fontId="0" fillId="2" borderId="32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0" fillId="2" borderId="33" xfId="0" applyFill="1" applyBorder="1" applyAlignment="1">
      <alignment vertical="top" wrapText="1"/>
    </xf>
    <xf numFmtId="0" fontId="0" fillId="2" borderId="34" xfId="0" applyFill="1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vertical="top"/>
    </xf>
    <xf numFmtId="9" fontId="0" fillId="0" borderId="37" xfId="2" applyFont="1" applyBorder="1" applyAlignment="1">
      <alignment vertical="top"/>
    </xf>
    <xf numFmtId="0" fontId="0" fillId="0" borderId="37" xfId="0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9" xfId="0" applyFill="1" applyBorder="1" applyAlignment="1">
      <alignment vertical="top"/>
    </xf>
    <xf numFmtId="0" fontId="0" fillId="2" borderId="39" xfId="0" applyFill="1" applyBorder="1" applyAlignment="1">
      <alignment vertical="top" wrapText="1"/>
    </xf>
    <xf numFmtId="0" fontId="0" fillId="2" borderId="40" xfId="0" applyFill="1" applyBorder="1" applyAlignment="1">
      <alignment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vertical="top"/>
    </xf>
    <xf numFmtId="0" fontId="0" fillId="0" borderId="43" xfId="0" applyBorder="1" applyAlignment="1">
      <alignment vertical="top"/>
    </xf>
    <xf numFmtId="0" fontId="0" fillId="5" borderId="18" xfId="0" applyFill="1" applyBorder="1" applyAlignment="1">
      <alignment horizontal="center" vertical="top" wrapText="1"/>
    </xf>
    <xf numFmtId="0" fontId="2" fillId="5" borderId="44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top"/>
    </xf>
    <xf numFmtId="0" fontId="2" fillId="3" borderId="11" xfId="0" applyFont="1" applyFill="1" applyBorder="1" applyAlignment="1">
      <alignment horizontal="center" vertical="top"/>
    </xf>
    <xf numFmtId="0" fontId="2" fillId="5" borderId="19" xfId="0" applyFont="1" applyFill="1" applyBorder="1" applyAlignment="1">
      <alignment horizontal="center" vertical="top"/>
    </xf>
    <xf numFmtId="0" fontId="2" fillId="5" borderId="15" xfId="0" applyFont="1" applyFill="1" applyBorder="1" applyAlignment="1">
      <alignment horizontal="center" vertical="top"/>
    </xf>
    <xf numFmtId="0" fontId="2" fillId="5" borderId="16" xfId="0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center" vertical="top"/>
    </xf>
    <xf numFmtId="0" fontId="2" fillId="3" borderId="12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horizontal="center" vertical="top"/>
    </xf>
    <xf numFmtId="0" fontId="2" fillId="3" borderId="14" xfId="0" applyFont="1" applyFill="1" applyBorder="1" applyAlignment="1">
      <alignment horizontal="center" vertical="top"/>
    </xf>
    <xf numFmtId="0" fontId="0" fillId="2" borderId="0" xfId="0" applyFill="1" applyBorder="1" applyAlignment="1">
      <alignment vertical="top" wrapText="1"/>
    </xf>
    <xf numFmtId="0" fontId="4" fillId="3" borderId="13" xfId="0" applyFont="1" applyFill="1" applyBorder="1" applyAlignment="1">
      <alignment horizontal="center" vertical="top"/>
    </xf>
    <xf numFmtId="0" fontId="4" fillId="6" borderId="0" xfId="0" applyFont="1" applyFill="1" applyBorder="1" applyAlignment="1">
      <alignment horizontal="center" vertical="top"/>
    </xf>
    <xf numFmtId="0" fontId="5" fillId="7" borderId="4" xfId="0" applyFont="1" applyFill="1" applyBorder="1" applyAlignment="1">
      <alignment horizontal="center" vertical="top" wrapText="1"/>
    </xf>
    <xf numFmtId="0" fontId="0" fillId="8" borderId="0" xfId="0" applyFont="1" applyFill="1" applyBorder="1" applyAlignment="1">
      <alignment horizontal="center" vertical="top" wrapText="1"/>
    </xf>
    <xf numFmtId="0" fontId="0" fillId="8" borderId="36" xfId="0" applyFont="1" applyFill="1" applyBorder="1" applyAlignment="1">
      <alignment horizontal="center" vertical="top" wrapText="1"/>
    </xf>
    <xf numFmtId="0" fontId="0" fillId="8" borderId="42" xfId="0" applyFont="1" applyFill="1" applyBorder="1" applyAlignment="1">
      <alignment horizontal="center" vertical="top" wrapText="1"/>
    </xf>
    <xf numFmtId="0" fontId="6" fillId="9" borderId="45" xfId="0" applyFont="1" applyFill="1" applyBorder="1" applyAlignment="1">
      <alignment horizontal="left" vertical="center" wrapText="1"/>
    </xf>
    <xf numFmtId="0" fontId="6" fillId="9" borderId="46" xfId="0" applyFont="1" applyFill="1" applyBorder="1" applyAlignment="1">
      <alignment horizontal="left" vertical="center" wrapText="1"/>
    </xf>
    <xf numFmtId="0" fontId="6" fillId="9" borderId="47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/>
    </xf>
    <xf numFmtId="0" fontId="11" fillId="0" borderId="0" xfId="0" applyFont="1"/>
    <xf numFmtId="0" fontId="3" fillId="7" borderId="48" xfId="0" applyFont="1" applyFill="1" applyBorder="1" applyAlignment="1">
      <alignment horizontal="center"/>
    </xf>
    <xf numFmtId="0" fontId="0" fillId="0" borderId="48" xfId="0" applyBorder="1"/>
  </cellXfs>
  <cellStyles count="3">
    <cellStyle name="Comma" xfId="1" builtinId="3"/>
    <cellStyle name="Normal" xfId="0" builtinId="0"/>
    <cellStyle name="Percent" xfId="2" builtinId="5"/>
  </cellStyles>
  <dxfs count="28"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</dxfs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902489-DA4C-4363-B5AB-F1F95550026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ad6485db-11e2-4118-b18a-272bfc7eb96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7714-25EF-413B-AA7C-7D648675B91A}">
  <dimension ref="A1:V72"/>
  <sheetViews>
    <sheetView tabSelected="1" topLeftCell="B1" workbookViewId="0">
      <selection activeCell="U17" sqref="U17"/>
    </sheetView>
  </sheetViews>
  <sheetFormatPr defaultRowHeight="15" x14ac:dyDescent="0.25"/>
  <cols>
    <col min="1" max="1" width="17" style="1" customWidth="1"/>
    <col min="2" max="2" width="20.5703125" style="1" customWidth="1"/>
    <col min="3" max="4" width="28.140625" style="2" customWidth="1"/>
    <col min="5" max="6" width="42.7109375" style="2" customWidth="1"/>
    <col min="7" max="7" width="12.7109375" style="5" customWidth="1"/>
    <col min="8" max="10" width="13.7109375" style="1" customWidth="1"/>
    <col min="11" max="11" width="13.7109375" style="3" customWidth="1"/>
    <col min="12" max="14" width="13.7109375" style="1" customWidth="1"/>
    <col min="15" max="15" width="13.7109375" style="3" customWidth="1"/>
    <col min="16" max="17" width="13.7109375" style="4" customWidth="1"/>
    <col min="18" max="18" width="13.7109375" style="1" customWidth="1"/>
    <col min="19" max="19" width="13.7109375" style="3" customWidth="1"/>
    <col min="20" max="22" width="13.7109375" style="1" customWidth="1"/>
    <col min="23" max="16384" width="9.140625" style="1"/>
  </cols>
  <sheetData>
    <row r="1" spans="1:22" ht="15" customHeight="1" x14ac:dyDescent="0.25">
      <c r="A1" s="56"/>
      <c r="B1" s="57"/>
      <c r="C1" s="57"/>
      <c r="D1" s="57"/>
      <c r="E1" s="58"/>
      <c r="F1" s="60" t="s">
        <v>67</v>
      </c>
      <c r="G1" s="49" t="s">
        <v>6</v>
      </c>
      <c r="H1" s="50"/>
      <c r="I1" s="50"/>
      <c r="J1" s="50"/>
      <c r="K1" s="49" t="s">
        <v>7</v>
      </c>
      <c r="L1" s="50"/>
      <c r="M1" s="50"/>
      <c r="N1" s="50"/>
      <c r="O1" s="49" t="s">
        <v>26</v>
      </c>
      <c r="P1" s="50"/>
      <c r="Q1" s="50"/>
      <c r="R1" s="50"/>
      <c r="S1" s="49" t="s">
        <v>8</v>
      </c>
      <c r="T1" s="50"/>
      <c r="U1" s="50"/>
      <c r="V1" s="51"/>
    </row>
    <row r="2" spans="1:22" x14ac:dyDescent="0.25">
      <c r="A2" s="53" t="s">
        <v>0</v>
      </c>
      <c r="B2" s="54"/>
      <c r="C2" s="54"/>
      <c r="D2" s="54"/>
      <c r="E2" s="55"/>
      <c r="F2" s="61"/>
      <c r="G2" s="47"/>
      <c r="H2" s="52" t="s">
        <v>1</v>
      </c>
      <c r="I2" s="52"/>
      <c r="J2" s="48" t="s">
        <v>5</v>
      </c>
      <c r="K2" s="47"/>
      <c r="L2" s="52" t="s">
        <v>1</v>
      </c>
      <c r="M2" s="52"/>
      <c r="N2" s="48" t="s">
        <v>5</v>
      </c>
      <c r="O2" s="47"/>
      <c r="P2" s="52" t="s">
        <v>1</v>
      </c>
      <c r="Q2" s="52"/>
      <c r="R2" s="48" t="s">
        <v>5</v>
      </c>
      <c r="S2" s="47"/>
      <c r="T2" s="52" t="s">
        <v>1</v>
      </c>
      <c r="U2" s="52"/>
      <c r="V2" s="48" t="s">
        <v>5</v>
      </c>
    </row>
    <row r="3" spans="1:22" ht="15.75" thickBot="1" x14ac:dyDescent="0.3">
      <c r="A3" s="20" t="s">
        <v>38</v>
      </c>
      <c r="B3" s="21" t="s">
        <v>2</v>
      </c>
      <c r="C3" s="22" t="s">
        <v>13</v>
      </c>
      <c r="D3" s="21" t="s">
        <v>14</v>
      </c>
      <c r="E3" s="23" t="s">
        <v>15</v>
      </c>
      <c r="F3" s="62"/>
      <c r="G3" s="24" t="s">
        <v>37</v>
      </c>
      <c r="H3" s="25" t="s">
        <v>3</v>
      </c>
      <c r="I3" s="25" t="s">
        <v>4</v>
      </c>
      <c r="J3" s="27">
        <f>SUM(J4:J53)</f>
        <v>1</v>
      </c>
      <c r="K3" s="24" t="s">
        <v>37</v>
      </c>
      <c r="L3" s="25" t="s">
        <v>3</v>
      </c>
      <c r="M3" s="25" t="s">
        <v>4</v>
      </c>
      <c r="N3" s="27">
        <f>SUM(N4:N53)</f>
        <v>1</v>
      </c>
      <c r="O3" s="24" t="s">
        <v>37</v>
      </c>
      <c r="P3" s="25" t="s">
        <v>3</v>
      </c>
      <c r="Q3" s="25" t="s">
        <v>4</v>
      </c>
      <c r="R3" s="27">
        <f>SUM(R4:R53)</f>
        <v>1</v>
      </c>
      <c r="S3" s="24" t="s">
        <v>37</v>
      </c>
      <c r="T3" s="25" t="s">
        <v>3</v>
      </c>
      <c r="U3" s="25" t="s">
        <v>4</v>
      </c>
      <c r="V3" s="27">
        <f>SUM(V4:V53)</f>
        <v>0.99999999999999989</v>
      </c>
    </row>
    <row r="4" spans="1:22" x14ac:dyDescent="0.25">
      <c r="A4" s="16" t="s">
        <v>39</v>
      </c>
      <c r="B4" s="17" t="s">
        <v>9</v>
      </c>
      <c r="C4" s="18" t="s">
        <v>10</v>
      </c>
      <c r="D4" s="17" t="s">
        <v>12</v>
      </c>
      <c r="E4" s="19" t="s">
        <v>16</v>
      </c>
      <c r="F4" s="63" t="s">
        <v>68</v>
      </c>
      <c r="G4" s="10" t="s">
        <v>19</v>
      </c>
      <c r="H4" s="13">
        <v>20</v>
      </c>
      <c r="I4" s="13">
        <v>99999</v>
      </c>
      <c r="J4" s="11"/>
      <c r="K4" s="10" t="s">
        <v>19</v>
      </c>
      <c r="L4" s="13">
        <v>20</v>
      </c>
      <c r="M4" s="13">
        <v>99999</v>
      </c>
      <c r="N4" s="11"/>
      <c r="O4" s="10" t="s">
        <v>19</v>
      </c>
      <c r="P4" s="13">
        <v>20</v>
      </c>
      <c r="Q4" s="13">
        <v>99999</v>
      </c>
      <c r="R4" s="11"/>
      <c r="S4" s="10" t="s">
        <v>19</v>
      </c>
      <c r="T4" s="13">
        <v>20</v>
      </c>
      <c r="U4" s="13">
        <v>99999</v>
      </c>
      <c r="V4" s="11"/>
    </row>
    <row r="5" spans="1:22" ht="30" x14ac:dyDescent="0.25">
      <c r="A5" s="6" t="s">
        <v>39</v>
      </c>
      <c r="B5" s="7" t="s">
        <v>9</v>
      </c>
      <c r="C5" s="8" t="s">
        <v>71</v>
      </c>
      <c r="D5" s="7" t="s">
        <v>12</v>
      </c>
      <c r="E5" s="9" t="s">
        <v>72</v>
      </c>
      <c r="F5" s="63" t="s">
        <v>69</v>
      </c>
      <c r="G5" s="10" t="s">
        <v>19</v>
      </c>
      <c r="H5" s="13">
        <v>14</v>
      </c>
      <c r="I5" s="13">
        <v>9999</v>
      </c>
      <c r="J5" s="14"/>
      <c r="K5" s="10" t="s">
        <v>19</v>
      </c>
      <c r="L5" s="13">
        <v>14</v>
      </c>
      <c r="M5" s="13">
        <v>9999</v>
      </c>
      <c r="N5" s="14"/>
      <c r="O5" s="10" t="s">
        <v>19</v>
      </c>
      <c r="P5" s="13">
        <v>14</v>
      </c>
      <c r="Q5" s="13">
        <v>9999</v>
      </c>
      <c r="R5" s="14"/>
      <c r="S5" s="10" t="s">
        <v>19</v>
      </c>
      <c r="T5" s="13">
        <v>14</v>
      </c>
      <c r="U5" s="13">
        <v>9999</v>
      </c>
      <c r="V5" s="14"/>
    </row>
    <row r="6" spans="1:22" ht="30" x14ac:dyDescent="0.25">
      <c r="A6" s="6" t="s">
        <v>39</v>
      </c>
      <c r="B6" s="7" t="s">
        <v>9</v>
      </c>
      <c r="C6" s="8" t="s">
        <v>73</v>
      </c>
      <c r="D6" s="7" t="s">
        <v>12</v>
      </c>
      <c r="E6" s="9" t="s">
        <v>74</v>
      </c>
      <c r="F6" s="63" t="s">
        <v>69</v>
      </c>
      <c r="G6" s="10" t="s">
        <v>19</v>
      </c>
      <c r="H6" s="13">
        <v>0</v>
      </c>
      <c r="I6" s="13">
        <v>9999</v>
      </c>
      <c r="J6" s="14"/>
      <c r="K6" s="10" t="s">
        <v>19</v>
      </c>
      <c r="L6" s="13">
        <v>0</v>
      </c>
      <c r="M6" s="13">
        <v>9999</v>
      </c>
      <c r="N6" s="14"/>
      <c r="O6" s="10" t="s">
        <v>19</v>
      </c>
      <c r="P6" s="13">
        <v>0</v>
      </c>
      <c r="Q6" s="13">
        <v>9999</v>
      </c>
      <c r="R6" s="14"/>
      <c r="S6" s="10" t="s">
        <v>19</v>
      </c>
      <c r="T6" s="13">
        <v>7</v>
      </c>
      <c r="U6" s="13">
        <v>9999</v>
      </c>
      <c r="V6" s="14"/>
    </row>
    <row r="7" spans="1:22" x14ac:dyDescent="0.25">
      <c r="A7" s="6" t="s">
        <v>39</v>
      </c>
      <c r="B7" s="7" t="s">
        <v>9</v>
      </c>
      <c r="C7" s="8" t="s">
        <v>11</v>
      </c>
      <c r="D7" s="7" t="s">
        <v>12</v>
      </c>
      <c r="E7" s="9" t="s">
        <v>32</v>
      </c>
      <c r="F7" s="63" t="s">
        <v>69</v>
      </c>
      <c r="G7" s="10" t="s">
        <v>19</v>
      </c>
      <c r="H7" s="1">
        <v>0</v>
      </c>
      <c r="I7" s="15">
        <v>0.15</v>
      </c>
      <c r="J7" s="11"/>
      <c r="K7" s="10" t="s">
        <v>19</v>
      </c>
      <c r="L7" s="1">
        <v>0</v>
      </c>
      <c r="M7" s="15">
        <v>0.15</v>
      </c>
      <c r="N7" s="11"/>
      <c r="O7" s="10" t="s">
        <v>19</v>
      </c>
      <c r="P7" s="1">
        <v>0</v>
      </c>
      <c r="Q7" s="15">
        <v>0.15</v>
      </c>
      <c r="R7" s="11"/>
      <c r="S7" s="10" t="s">
        <v>19</v>
      </c>
      <c r="T7" s="1">
        <v>0</v>
      </c>
      <c r="U7" s="15">
        <v>0.15</v>
      </c>
      <c r="V7" s="11"/>
    </row>
    <row r="8" spans="1:22" x14ac:dyDescent="0.25">
      <c r="A8" s="6" t="s">
        <v>39</v>
      </c>
      <c r="B8" s="7" t="s">
        <v>9</v>
      </c>
      <c r="C8" s="8" t="s">
        <v>75</v>
      </c>
      <c r="D8" s="7" t="s">
        <v>12</v>
      </c>
      <c r="E8" s="9" t="s">
        <v>76</v>
      </c>
      <c r="F8" s="63" t="s">
        <v>68</v>
      </c>
      <c r="G8" s="10" t="s">
        <v>19</v>
      </c>
      <c r="H8" s="1">
        <v>100</v>
      </c>
      <c r="I8" s="15">
        <v>9999999</v>
      </c>
      <c r="J8" s="11"/>
      <c r="K8" s="10" t="s">
        <v>19</v>
      </c>
      <c r="L8" s="1">
        <v>100</v>
      </c>
      <c r="M8" s="15">
        <v>9999999</v>
      </c>
      <c r="N8" s="11"/>
      <c r="O8" s="10" t="s">
        <v>19</v>
      </c>
      <c r="P8" s="1">
        <v>100</v>
      </c>
      <c r="Q8" s="15">
        <v>9999999</v>
      </c>
      <c r="R8" s="11"/>
      <c r="S8" s="10" t="s">
        <v>19</v>
      </c>
      <c r="T8" s="1">
        <v>100</v>
      </c>
      <c r="U8" s="15">
        <v>9999999</v>
      </c>
      <c r="V8" s="11"/>
    </row>
    <row r="9" spans="1:22" x14ac:dyDescent="0.25">
      <c r="A9" s="6" t="s">
        <v>39</v>
      </c>
      <c r="B9" s="7" t="s">
        <v>9</v>
      </c>
      <c r="C9" s="8" t="s">
        <v>77</v>
      </c>
      <c r="D9" s="7" t="s">
        <v>12</v>
      </c>
      <c r="E9" s="9" t="s">
        <v>78</v>
      </c>
      <c r="F9" s="63" t="s">
        <v>68</v>
      </c>
      <c r="G9" s="10" t="s">
        <v>19</v>
      </c>
      <c r="H9" s="1">
        <v>500</v>
      </c>
      <c r="I9" s="15">
        <v>9999999</v>
      </c>
      <c r="J9" s="11"/>
      <c r="K9" s="10" t="s">
        <v>19</v>
      </c>
      <c r="L9" s="1">
        <v>500</v>
      </c>
      <c r="M9" s="15">
        <v>9999999</v>
      </c>
      <c r="N9" s="11"/>
      <c r="O9" s="10" t="s">
        <v>19</v>
      </c>
      <c r="P9" s="1">
        <v>500</v>
      </c>
      <c r="Q9" s="15">
        <v>9999999</v>
      </c>
      <c r="R9" s="11"/>
      <c r="S9" s="10" t="s">
        <v>19</v>
      </c>
      <c r="T9" s="1">
        <v>500</v>
      </c>
      <c r="U9" s="15">
        <v>9999999</v>
      </c>
      <c r="V9" s="11"/>
    </row>
    <row r="10" spans="1:22" x14ac:dyDescent="0.25">
      <c r="A10" s="6" t="s">
        <v>39</v>
      </c>
      <c r="B10" s="7" t="s">
        <v>9</v>
      </c>
      <c r="C10" s="8" t="s">
        <v>79</v>
      </c>
      <c r="D10" s="7" t="s">
        <v>12</v>
      </c>
      <c r="E10" s="9" t="s">
        <v>80</v>
      </c>
      <c r="F10" s="63" t="s">
        <v>68</v>
      </c>
      <c r="G10" s="10" t="s">
        <v>19</v>
      </c>
      <c r="H10" s="1">
        <v>0</v>
      </c>
      <c r="I10" s="15">
        <v>60</v>
      </c>
      <c r="J10" s="11"/>
      <c r="K10" s="10" t="s">
        <v>19</v>
      </c>
      <c r="L10" s="1">
        <v>0</v>
      </c>
      <c r="M10" s="15">
        <v>60</v>
      </c>
      <c r="N10" s="11"/>
      <c r="O10" s="10" t="s">
        <v>19</v>
      </c>
      <c r="P10" s="1">
        <v>0</v>
      </c>
      <c r="Q10" s="15">
        <v>60</v>
      </c>
      <c r="R10" s="11"/>
      <c r="S10" s="10" t="s">
        <v>19</v>
      </c>
      <c r="T10" s="1">
        <v>0</v>
      </c>
      <c r="U10" s="15">
        <v>60</v>
      </c>
      <c r="V10" s="11"/>
    </row>
    <row r="11" spans="1:22" x14ac:dyDescent="0.25">
      <c r="A11" s="6" t="s">
        <v>39</v>
      </c>
      <c r="B11" s="7" t="s">
        <v>9</v>
      </c>
      <c r="C11" s="8" t="s">
        <v>81</v>
      </c>
      <c r="D11" s="7" t="s">
        <v>12</v>
      </c>
      <c r="E11" s="9" t="s">
        <v>82</v>
      </c>
      <c r="F11" s="63" t="s">
        <v>68</v>
      </c>
      <c r="G11" s="10" t="s">
        <v>19</v>
      </c>
      <c r="H11" s="1">
        <v>7</v>
      </c>
      <c r="I11" s="15">
        <v>9999</v>
      </c>
      <c r="J11" s="11"/>
      <c r="K11" s="10" t="s">
        <v>19</v>
      </c>
      <c r="L11" s="1">
        <v>7</v>
      </c>
      <c r="M11" s="15">
        <v>9999</v>
      </c>
      <c r="N11" s="11"/>
      <c r="O11" s="10" t="s">
        <v>19</v>
      </c>
      <c r="P11" s="1">
        <v>7</v>
      </c>
      <c r="Q11" s="15">
        <v>9999</v>
      </c>
      <c r="R11" s="11"/>
      <c r="S11" s="10" t="s">
        <v>19</v>
      </c>
      <c r="T11" s="1">
        <v>7</v>
      </c>
      <c r="U11" s="15">
        <v>9999</v>
      </c>
      <c r="V11" s="11"/>
    </row>
    <row r="12" spans="1:22" x14ac:dyDescent="0.25">
      <c r="A12" s="6" t="s">
        <v>39</v>
      </c>
      <c r="B12" s="7" t="s">
        <v>9</v>
      </c>
      <c r="C12" s="8" t="s">
        <v>83</v>
      </c>
      <c r="D12" s="7" t="s">
        <v>12</v>
      </c>
      <c r="E12" s="9" t="s">
        <v>84</v>
      </c>
      <c r="F12" s="63" t="s">
        <v>68</v>
      </c>
      <c r="G12" s="10" t="s">
        <v>19</v>
      </c>
      <c r="I12" s="15"/>
      <c r="J12" s="11"/>
      <c r="K12" s="10" t="s">
        <v>19</v>
      </c>
      <c r="M12" s="15"/>
      <c r="N12" s="11"/>
      <c r="O12" s="10" t="s">
        <v>19</v>
      </c>
      <c r="P12" s="1"/>
      <c r="Q12" s="15"/>
      <c r="R12" s="11"/>
      <c r="S12" s="10" t="s">
        <v>19</v>
      </c>
      <c r="U12" s="15"/>
      <c r="V12" s="11"/>
    </row>
    <row r="13" spans="1:22" x14ac:dyDescent="0.25">
      <c r="A13" s="6" t="s">
        <v>39</v>
      </c>
      <c r="B13" s="7" t="s">
        <v>9</v>
      </c>
      <c r="C13" s="8" t="s">
        <v>86</v>
      </c>
      <c r="D13" s="7" t="s">
        <v>12</v>
      </c>
      <c r="E13" s="9" t="s">
        <v>87</v>
      </c>
      <c r="F13" s="63" t="s">
        <v>68</v>
      </c>
      <c r="G13" s="10" t="s">
        <v>19</v>
      </c>
      <c r="I13" s="15"/>
      <c r="J13" s="11"/>
      <c r="K13" s="10" t="s">
        <v>19</v>
      </c>
      <c r="M13" s="15"/>
      <c r="N13" s="11"/>
      <c r="O13" s="10" t="s">
        <v>19</v>
      </c>
      <c r="P13" s="1"/>
      <c r="Q13" s="15"/>
      <c r="R13" s="11"/>
      <c r="S13" s="10" t="s">
        <v>19</v>
      </c>
      <c r="U13" s="15"/>
      <c r="V13" s="11"/>
    </row>
    <row r="14" spans="1:22" x14ac:dyDescent="0.25">
      <c r="A14" s="6" t="s">
        <v>39</v>
      </c>
      <c r="B14" s="7" t="s">
        <v>9</v>
      </c>
      <c r="C14" s="8" t="s">
        <v>88</v>
      </c>
      <c r="D14" s="7" t="s">
        <v>12</v>
      </c>
      <c r="E14" s="9" t="s">
        <v>89</v>
      </c>
      <c r="F14" s="63" t="s">
        <v>69</v>
      </c>
      <c r="G14" s="10" t="s">
        <v>19</v>
      </c>
      <c r="I14" s="15"/>
      <c r="J14" s="11"/>
      <c r="K14" s="10" t="s">
        <v>19</v>
      </c>
      <c r="M14" s="15"/>
      <c r="N14" s="11"/>
      <c r="O14" s="10" t="s">
        <v>19</v>
      </c>
      <c r="P14" s="1"/>
      <c r="Q14" s="15"/>
      <c r="R14" s="11"/>
      <c r="S14" s="10" t="s">
        <v>19</v>
      </c>
      <c r="U14" s="15"/>
      <c r="V14" s="11"/>
    </row>
    <row r="15" spans="1:22" x14ac:dyDescent="0.25">
      <c r="A15" s="6" t="s">
        <v>39</v>
      </c>
      <c r="B15" s="7" t="s">
        <v>28</v>
      </c>
      <c r="C15" s="8" t="s">
        <v>29</v>
      </c>
      <c r="D15" s="7" t="s">
        <v>12</v>
      </c>
      <c r="E15" s="9" t="s">
        <v>33</v>
      </c>
      <c r="F15" s="63" t="s">
        <v>68</v>
      </c>
      <c r="G15" s="10" t="s">
        <v>19</v>
      </c>
      <c r="H15" s="13">
        <v>21</v>
      </c>
      <c r="I15" s="13">
        <v>45</v>
      </c>
      <c r="J15" s="14"/>
      <c r="K15" s="10" t="s">
        <v>19</v>
      </c>
      <c r="L15" s="13">
        <v>14</v>
      </c>
      <c r="M15" s="13">
        <v>20</v>
      </c>
      <c r="N15" s="14"/>
      <c r="O15" s="10" t="s">
        <v>19</v>
      </c>
      <c r="P15" s="13">
        <v>30</v>
      </c>
      <c r="Q15" s="13">
        <v>45</v>
      </c>
      <c r="R15" s="14"/>
      <c r="S15" s="10" t="s">
        <v>19</v>
      </c>
      <c r="T15" s="13">
        <v>30</v>
      </c>
      <c r="U15" s="13">
        <v>60</v>
      </c>
      <c r="V15" s="14"/>
    </row>
    <row r="16" spans="1:22" ht="16.5" customHeight="1" x14ac:dyDescent="0.25">
      <c r="A16" s="6" t="s">
        <v>39</v>
      </c>
      <c r="B16" s="7" t="s">
        <v>28</v>
      </c>
      <c r="C16" s="8" t="s">
        <v>30</v>
      </c>
      <c r="D16" s="7" t="s">
        <v>12</v>
      </c>
      <c r="E16" s="9" t="s">
        <v>34</v>
      </c>
      <c r="F16" s="63" t="s">
        <v>69</v>
      </c>
      <c r="G16" s="10" t="s">
        <v>19</v>
      </c>
      <c r="H16" s="1">
        <v>0.3</v>
      </c>
      <c r="I16" s="13">
        <v>99999</v>
      </c>
      <c r="J16" s="11"/>
      <c r="K16" s="10" t="s">
        <v>19</v>
      </c>
      <c r="L16" s="1">
        <v>0.3</v>
      </c>
      <c r="M16" s="13">
        <v>99999</v>
      </c>
      <c r="N16" s="11"/>
      <c r="O16" s="10" t="s">
        <v>25</v>
      </c>
      <c r="P16" s="1"/>
      <c r="Q16" s="13"/>
      <c r="R16" s="11"/>
      <c r="S16" s="10" t="s">
        <v>25</v>
      </c>
      <c r="U16" s="13"/>
      <c r="V16" s="11"/>
    </row>
    <row r="17" spans="1:22" ht="18" customHeight="1" x14ac:dyDescent="0.25">
      <c r="A17" s="6" t="s">
        <v>39</v>
      </c>
      <c r="B17" s="7" t="s">
        <v>28</v>
      </c>
      <c r="C17" s="8" t="s">
        <v>31</v>
      </c>
      <c r="D17" s="7" t="s">
        <v>12</v>
      </c>
      <c r="E17" s="9" t="s">
        <v>35</v>
      </c>
      <c r="F17" s="63" t="s">
        <v>69</v>
      </c>
      <c r="G17" s="10" t="s">
        <v>25</v>
      </c>
      <c r="I17" s="15"/>
      <c r="J17" s="11"/>
      <c r="K17" s="10" t="s">
        <v>25</v>
      </c>
      <c r="M17" s="15"/>
      <c r="N17" s="11"/>
      <c r="O17" s="10" t="s">
        <v>19</v>
      </c>
      <c r="P17" s="1">
        <v>0</v>
      </c>
      <c r="Q17" s="15">
        <v>0.4</v>
      </c>
      <c r="R17" s="11"/>
      <c r="S17" s="10" t="s">
        <v>25</v>
      </c>
      <c r="U17" s="15"/>
      <c r="V17" s="11"/>
    </row>
    <row r="18" spans="1:22" ht="18" customHeight="1" x14ac:dyDescent="0.25">
      <c r="A18" s="6" t="s">
        <v>39</v>
      </c>
      <c r="B18" s="7" t="s">
        <v>28</v>
      </c>
      <c r="C18" s="8" t="s">
        <v>90</v>
      </c>
      <c r="D18" s="7" t="s">
        <v>12</v>
      </c>
      <c r="E18" s="9" t="s">
        <v>91</v>
      </c>
      <c r="F18" s="63" t="s">
        <v>70</v>
      </c>
      <c r="G18" s="10" t="s">
        <v>19</v>
      </c>
      <c r="H18" s="1">
        <v>0</v>
      </c>
      <c r="I18" s="13">
        <v>99999</v>
      </c>
      <c r="J18" s="11"/>
      <c r="K18" s="10" t="s">
        <v>19</v>
      </c>
      <c r="L18" s="1">
        <v>0</v>
      </c>
      <c r="M18" s="15">
        <v>99999</v>
      </c>
      <c r="N18" s="11"/>
      <c r="O18" s="10" t="s">
        <v>19</v>
      </c>
      <c r="P18" s="1">
        <v>0</v>
      </c>
      <c r="Q18" s="15">
        <v>99999</v>
      </c>
      <c r="R18" s="11"/>
      <c r="S18" s="10" t="s">
        <v>19</v>
      </c>
      <c r="T18" s="1">
        <v>0</v>
      </c>
      <c r="U18" s="15">
        <v>99999</v>
      </c>
      <c r="V18" s="11"/>
    </row>
    <row r="19" spans="1:22" ht="18" customHeight="1" x14ac:dyDescent="0.25">
      <c r="A19" s="6" t="s">
        <v>39</v>
      </c>
      <c r="B19" s="7" t="s">
        <v>28</v>
      </c>
      <c r="C19" s="8" t="s">
        <v>92</v>
      </c>
      <c r="D19" s="7" t="s">
        <v>12</v>
      </c>
      <c r="E19" s="9" t="s">
        <v>93</v>
      </c>
      <c r="F19" s="63" t="s">
        <v>69</v>
      </c>
      <c r="G19" s="10" t="s">
        <v>19</v>
      </c>
      <c r="H19" s="1">
        <v>0.01</v>
      </c>
      <c r="I19" s="15">
        <v>1</v>
      </c>
      <c r="J19" s="11"/>
      <c r="K19" s="10" t="s">
        <v>19</v>
      </c>
      <c r="L19" s="1">
        <v>1.4999999999999999E-2</v>
      </c>
      <c r="M19" s="15">
        <v>1</v>
      </c>
      <c r="N19" s="11"/>
      <c r="O19" s="10" t="s">
        <v>25</v>
      </c>
      <c r="P19" s="1"/>
      <c r="Q19" s="15"/>
      <c r="R19" s="11"/>
      <c r="S19" s="10" t="s">
        <v>25</v>
      </c>
      <c r="U19" s="15"/>
      <c r="V19" s="11"/>
    </row>
    <row r="20" spans="1:22" ht="18" customHeight="1" x14ac:dyDescent="0.25">
      <c r="A20" s="6" t="s">
        <v>39</v>
      </c>
      <c r="B20" s="7" t="s">
        <v>28</v>
      </c>
      <c r="C20" s="8" t="s">
        <v>94</v>
      </c>
      <c r="D20" s="7" t="s">
        <v>12</v>
      </c>
      <c r="E20" s="9" t="s">
        <v>95</v>
      </c>
      <c r="F20" s="63" t="s">
        <v>69</v>
      </c>
      <c r="G20" s="10" t="s">
        <v>19</v>
      </c>
      <c r="H20" s="1">
        <v>1</v>
      </c>
      <c r="I20" s="15">
        <v>999</v>
      </c>
      <c r="J20" s="11"/>
      <c r="K20" s="10" t="s">
        <v>19</v>
      </c>
      <c r="L20" s="1">
        <v>1.5</v>
      </c>
      <c r="M20" s="15">
        <v>999</v>
      </c>
      <c r="N20" s="11"/>
      <c r="O20" s="10" t="s">
        <v>25</v>
      </c>
      <c r="P20" s="1"/>
      <c r="Q20" s="15"/>
      <c r="R20" s="11"/>
      <c r="S20" s="10" t="s">
        <v>25</v>
      </c>
      <c r="U20" s="15"/>
      <c r="V20" s="11"/>
    </row>
    <row r="21" spans="1:22" ht="18" customHeight="1" x14ac:dyDescent="0.25">
      <c r="A21" s="6" t="s">
        <v>39</v>
      </c>
      <c r="B21" s="7" t="s">
        <v>28</v>
      </c>
      <c r="C21" s="8" t="s">
        <v>96</v>
      </c>
      <c r="D21" s="7" t="s">
        <v>12</v>
      </c>
      <c r="E21" s="9" t="s">
        <v>97</v>
      </c>
      <c r="F21" s="63" t="s">
        <v>70</v>
      </c>
      <c r="G21" s="10" t="s">
        <v>25</v>
      </c>
      <c r="I21" s="15"/>
      <c r="J21" s="11"/>
      <c r="K21" s="10" t="s">
        <v>25</v>
      </c>
      <c r="M21" s="15"/>
      <c r="N21" s="11"/>
      <c r="O21" s="10" t="s">
        <v>25</v>
      </c>
      <c r="P21" s="1"/>
      <c r="Q21" s="15"/>
      <c r="R21" s="11"/>
      <c r="S21" s="10" t="s">
        <v>19</v>
      </c>
      <c r="T21" s="1">
        <v>0</v>
      </c>
      <c r="U21" s="15">
        <v>0.5</v>
      </c>
      <c r="V21" s="11"/>
    </row>
    <row r="22" spans="1:22" ht="18" customHeight="1" x14ac:dyDescent="0.25">
      <c r="A22" s="6" t="s">
        <v>39</v>
      </c>
      <c r="B22" s="7" t="s">
        <v>28</v>
      </c>
      <c r="C22" s="8" t="s">
        <v>98</v>
      </c>
      <c r="D22" s="7" t="s">
        <v>12</v>
      </c>
      <c r="E22" s="9" t="s">
        <v>99</v>
      </c>
      <c r="F22" s="63" t="s">
        <v>69</v>
      </c>
      <c r="G22" s="10" t="s">
        <v>25</v>
      </c>
      <c r="I22" s="15"/>
      <c r="J22" s="11"/>
      <c r="K22" s="10" t="s">
        <v>25</v>
      </c>
      <c r="M22" s="15"/>
      <c r="N22" s="11"/>
      <c r="O22" s="10" t="s">
        <v>19</v>
      </c>
      <c r="P22" s="1"/>
      <c r="Q22" s="15"/>
      <c r="R22" s="11"/>
      <c r="S22" s="10" t="s">
        <v>19</v>
      </c>
      <c r="U22" s="15"/>
      <c r="V22" s="11"/>
    </row>
    <row r="23" spans="1:22" ht="18" customHeight="1" x14ac:dyDescent="0.25">
      <c r="A23" s="6" t="s">
        <v>39</v>
      </c>
      <c r="B23" s="7" t="s">
        <v>28</v>
      </c>
      <c r="C23" s="8" t="s">
        <v>100</v>
      </c>
      <c r="D23" s="7" t="s">
        <v>12</v>
      </c>
      <c r="E23" s="9" t="s">
        <v>101</v>
      </c>
      <c r="F23" s="63" t="s">
        <v>69</v>
      </c>
      <c r="G23" s="10" t="s">
        <v>19</v>
      </c>
      <c r="H23" s="1" t="s">
        <v>102</v>
      </c>
      <c r="I23" s="15" t="s">
        <v>102</v>
      </c>
      <c r="J23" s="11"/>
      <c r="K23" s="10" t="s">
        <v>19</v>
      </c>
      <c r="L23" s="1" t="s">
        <v>102</v>
      </c>
      <c r="M23" s="15" t="s">
        <v>102</v>
      </c>
      <c r="N23" s="11"/>
      <c r="O23" s="10" t="s">
        <v>19</v>
      </c>
      <c r="P23" s="1" t="s">
        <v>102</v>
      </c>
      <c r="Q23" s="15" t="s">
        <v>102</v>
      </c>
      <c r="R23" s="11"/>
      <c r="S23" s="10" t="s">
        <v>25</v>
      </c>
      <c r="U23" s="15"/>
      <c r="V23" s="11"/>
    </row>
    <row r="24" spans="1:22" ht="18" customHeight="1" x14ac:dyDescent="0.25">
      <c r="A24" s="6" t="s">
        <v>39</v>
      </c>
      <c r="B24" s="7" t="s">
        <v>17</v>
      </c>
      <c r="C24" s="8" t="s">
        <v>45</v>
      </c>
      <c r="D24" s="7" t="s">
        <v>36</v>
      </c>
      <c r="E24" s="9"/>
      <c r="F24" s="63" t="s">
        <v>68</v>
      </c>
      <c r="G24" s="10" t="s">
        <v>19</v>
      </c>
      <c r="I24" s="15"/>
      <c r="J24" s="11"/>
      <c r="K24" s="10" t="s">
        <v>19</v>
      </c>
      <c r="M24" s="15"/>
      <c r="N24" s="11"/>
      <c r="O24" s="10" t="s">
        <v>25</v>
      </c>
      <c r="P24" s="1"/>
      <c r="Q24" s="15"/>
      <c r="R24" s="11"/>
      <c r="S24" s="10" t="s">
        <v>25</v>
      </c>
      <c r="U24" s="15"/>
      <c r="V24" s="11"/>
    </row>
    <row r="25" spans="1:22" ht="18" customHeight="1" x14ac:dyDescent="0.25">
      <c r="A25" s="6" t="s">
        <v>39</v>
      </c>
      <c r="B25" s="7" t="s">
        <v>17</v>
      </c>
      <c r="C25" s="8" t="s">
        <v>46</v>
      </c>
      <c r="D25" s="7" t="s">
        <v>36</v>
      </c>
      <c r="E25" s="9"/>
      <c r="F25" s="63" t="s">
        <v>68</v>
      </c>
      <c r="G25" s="10" t="s">
        <v>25</v>
      </c>
      <c r="I25" s="15"/>
      <c r="J25" s="11"/>
      <c r="K25" s="10" t="s">
        <v>25</v>
      </c>
      <c r="M25" s="15"/>
      <c r="N25" s="11"/>
      <c r="O25" s="10" t="s">
        <v>19</v>
      </c>
      <c r="P25" s="1"/>
      <c r="Q25" s="15"/>
      <c r="R25" s="11"/>
      <c r="S25" s="10" t="s">
        <v>25</v>
      </c>
      <c r="U25" s="15"/>
      <c r="V25" s="11"/>
    </row>
    <row r="26" spans="1:22" x14ac:dyDescent="0.25">
      <c r="A26" s="6" t="s">
        <v>39</v>
      </c>
      <c r="B26" s="7" t="s">
        <v>17</v>
      </c>
      <c r="C26" s="8" t="s">
        <v>18</v>
      </c>
      <c r="D26" s="8" t="s">
        <v>36</v>
      </c>
      <c r="E26" s="9"/>
      <c r="F26" s="63" t="s">
        <v>68</v>
      </c>
      <c r="G26" s="12" t="s">
        <v>19</v>
      </c>
      <c r="J26" s="11"/>
      <c r="K26" s="12" t="s">
        <v>19</v>
      </c>
      <c r="N26" s="11"/>
      <c r="O26" s="12" t="s">
        <v>25</v>
      </c>
      <c r="P26" s="1"/>
      <c r="Q26" s="1"/>
      <c r="R26" s="11"/>
      <c r="S26" s="10" t="s">
        <v>25</v>
      </c>
      <c r="V26" s="11"/>
    </row>
    <row r="27" spans="1:22" x14ac:dyDescent="0.25">
      <c r="A27" s="6" t="s">
        <v>39</v>
      </c>
      <c r="B27" s="7" t="s">
        <v>17</v>
      </c>
      <c r="C27" s="8" t="s">
        <v>20</v>
      </c>
      <c r="D27" s="8" t="s">
        <v>36</v>
      </c>
      <c r="E27" s="9"/>
      <c r="F27" s="63" t="s">
        <v>68</v>
      </c>
      <c r="G27" s="12" t="s">
        <v>19</v>
      </c>
      <c r="J27" s="11"/>
      <c r="K27" s="12" t="s">
        <v>19</v>
      </c>
      <c r="N27" s="11"/>
      <c r="O27" s="12" t="s">
        <v>25</v>
      </c>
      <c r="P27" s="1"/>
      <c r="Q27" s="1"/>
      <c r="R27" s="11"/>
      <c r="S27" s="10" t="s">
        <v>25</v>
      </c>
      <c r="V27" s="11"/>
    </row>
    <row r="28" spans="1:22" x14ac:dyDescent="0.25">
      <c r="A28" s="6" t="s">
        <v>39</v>
      </c>
      <c r="B28" s="7" t="s">
        <v>17</v>
      </c>
      <c r="C28" s="8" t="s">
        <v>21</v>
      </c>
      <c r="D28" s="8" t="s">
        <v>36</v>
      </c>
      <c r="E28" s="9"/>
      <c r="F28" s="63" t="s">
        <v>68</v>
      </c>
      <c r="G28" s="12" t="s">
        <v>25</v>
      </c>
      <c r="J28" s="11"/>
      <c r="K28" s="12" t="s">
        <v>25</v>
      </c>
      <c r="N28" s="11"/>
      <c r="O28" s="12" t="s">
        <v>19</v>
      </c>
      <c r="P28" s="1"/>
      <c r="Q28" s="1"/>
      <c r="R28" s="11"/>
      <c r="S28" s="10" t="s">
        <v>25</v>
      </c>
      <c r="V28" s="11"/>
    </row>
    <row r="29" spans="1:22" x14ac:dyDescent="0.25">
      <c r="A29" s="6" t="s">
        <v>39</v>
      </c>
      <c r="B29" s="7" t="s">
        <v>17</v>
      </c>
      <c r="C29" s="8" t="s">
        <v>22</v>
      </c>
      <c r="D29" s="8" t="s">
        <v>36</v>
      </c>
      <c r="E29" s="9"/>
      <c r="F29" s="63" t="s">
        <v>68</v>
      </c>
      <c r="G29" s="12" t="s">
        <v>25</v>
      </c>
      <c r="J29" s="11"/>
      <c r="K29" s="12" t="s">
        <v>25</v>
      </c>
      <c r="N29" s="11"/>
      <c r="O29" s="12" t="s">
        <v>19</v>
      </c>
      <c r="P29" s="1"/>
      <c r="Q29" s="1"/>
      <c r="R29" s="11"/>
      <c r="S29" s="10" t="s">
        <v>25</v>
      </c>
      <c r="V29" s="11"/>
    </row>
    <row r="30" spans="1:22" x14ac:dyDescent="0.25">
      <c r="A30" s="6" t="s">
        <v>39</v>
      </c>
      <c r="B30" s="7" t="s">
        <v>17</v>
      </c>
      <c r="C30" s="8" t="s">
        <v>23</v>
      </c>
      <c r="D30" s="8" t="s">
        <v>36</v>
      </c>
      <c r="E30" s="9"/>
      <c r="F30" s="63" t="s">
        <v>68</v>
      </c>
      <c r="G30" s="12" t="s">
        <v>25</v>
      </c>
      <c r="J30" s="11"/>
      <c r="K30" s="12" t="s">
        <v>19</v>
      </c>
      <c r="N30" s="11"/>
      <c r="O30" s="12" t="s">
        <v>25</v>
      </c>
      <c r="P30" s="1"/>
      <c r="Q30" s="1"/>
      <c r="R30" s="11"/>
      <c r="S30" s="10" t="s">
        <v>25</v>
      </c>
      <c r="V30" s="11"/>
    </row>
    <row r="31" spans="1:22" x14ac:dyDescent="0.25">
      <c r="A31" s="6" t="s">
        <v>39</v>
      </c>
      <c r="B31" s="7" t="s">
        <v>17</v>
      </c>
      <c r="C31" s="8" t="s">
        <v>24</v>
      </c>
      <c r="D31" s="8" t="s">
        <v>36</v>
      </c>
      <c r="E31" s="9"/>
      <c r="F31" s="63" t="s">
        <v>68</v>
      </c>
      <c r="G31" s="12" t="s">
        <v>25</v>
      </c>
      <c r="J31" s="11"/>
      <c r="K31" s="12" t="s">
        <v>19</v>
      </c>
      <c r="N31" s="11"/>
      <c r="O31" s="12" t="s">
        <v>25</v>
      </c>
      <c r="P31" s="1"/>
      <c r="Q31" s="1"/>
      <c r="R31" s="11"/>
      <c r="S31" s="12" t="s">
        <v>19</v>
      </c>
      <c r="V31" s="11"/>
    </row>
    <row r="32" spans="1:22" ht="15.75" thickBot="1" x14ac:dyDescent="0.3">
      <c r="A32" s="28" t="s">
        <v>39</v>
      </c>
      <c r="B32" s="29" t="s">
        <v>17</v>
      </c>
      <c r="C32" s="30" t="s">
        <v>27</v>
      </c>
      <c r="D32" s="30" t="s">
        <v>36</v>
      </c>
      <c r="E32" s="31"/>
      <c r="F32" s="63" t="s">
        <v>68</v>
      </c>
      <c r="G32" s="12" t="s">
        <v>25</v>
      </c>
      <c r="J32" s="11"/>
      <c r="K32" s="12" t="s">
        <v>25</v>
      </c>
      <c r="N32" s="11"/>
      <c r="O32" s="12" t="s">
        <v>25</v>
      </c>
      <c r="P32" s="1"/>
      <c r="Q32" s="1"/>
      <c r="R32" s="11"/>
      <c r="S32" s="12" t="s">
        <v>19</v>
      </c>
      <c r="V32" s="11"/>
    </row>
    <row r="33" spans="1:22" ht="30" x14ac:dyDescent="0.25">
      <c r="A33" s="32" t="s">
        <v>40</v>
      </c>
      <c r="B33" s="33" t="s">
        <v>41</v>
      </c>
      <c r="C33" s="34" t="s">
        <v>42</v>
      </c>
      <c r="D33" s="34" t="s">
        <v>12</v>
      </c>
      <c r="E33" s="35" t="s">
        <v>43</v>
      </c>
      <c r="F33" s="64" t="s">
        <v>69</v>
      </c>
      <c r="G33" s="36" t="s">
        <v>25</v>
      </c>
      <c r="H33" s="37"/>
      <c r="I33" s="37"/>
      <c r="J33" s="39"/>
      <c r="K33" s="36" t="s">
        <v>25</v>
      </c>
      <c r="L33" s="37"/>
      <c r="M33" s="37"/>
      <c r="N33" s="39"/>
      <c r="O33" s="36" t="s">
        <v>25</v>
      </c>
      <c r="P33" s="37"/>
      <c r="Q33" s="37"/>
      <c r="R33" s="39"/>
      <c r="S33" s="36" t="s">
        <v>19</v>
      </c>
      <c r="T33" s="37">
        <v>0.05</v>
      </c>
      <c r="U33" s="37">
        <v>1</v>
      </c>
      <c r="V33" s="39"/>
    </row>
    <row r="34" spans="1:22" ht="30.75" thickBot="1" x14ac:dyDescent="0.3">
      <c r="A34" s="40" t="s">
        <v>40</v>
      </c>
      <c r="B34" s="41" t="s">
        <v>41</v>
      </c>
      <c r="C34" s="42" t="s">
        <v>44</v>
      </c>
      <c r="D34" s="42" t="s">
        <v>12</v>
      </c>
      <c r="E34" s="43" t="s">
        <v>43</v>
      </c>
      <c r="F34" s="65" t="s">
        <v>69</v>
      </c>
      <c r="G34" s="44" t="s">
        <v>19</v>
      </c>
      <c r="H34" s="45">
        <v>0.05</v>
      </c>
      <c r="I34" s="45">
        <v>1</v>
      </c>
      <c r="J34" s="46"/>
      <c r="K34" s="44" t="s">
        <v>19</v>
      </c>
      <c r="L34" s="45">
        <v>0.05</v>
      </c>
      <c r="M34" s="45">
        <v>1</v>
      </c>
      <c r="N34" s="46"/>
      <c r="O34" s="44" t="s">
        <v>25</v>
      </c>
      <c r="P34" s="45"/>
      <c r="Q34" s="45"/>
      <c r="R34" s="46"/>
      <c r="S34" s="44" t="s">
        <v>25</v>
      </c>
      <c r="T34" s="45"/>
      <c r="U34" s="45"/>
      <c r="V34" s="46"/>
    </row>
    <row r="35" spans="1:22" ht="30" customHeight="1" thickBot="1" x14ac:dyDescent="0.3">
      <c r="A35" s="66" t="s">
        <v>103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8"/>
    </row>
    <row r="36" spans="1:22" x14ac:dyDescent="0.25">
      <c r="A36" s="32" t="s">
        <v>47</v>
      </c>
      <c r="B36" s="33" t="s">
        <v>48</v>
      </c>
      <c r="C36" s="34" t="s">
        <v>55</v>
      </c>
      <c r="D36" s="34" t="s">
        <v>12</v>
      </c>
      <c r="E36" s="35" t="s">
        <v>50</v>
      </c>
      <c r="F36" s="64" t="s">
        <v>70</v>
      </c>
      <c r="G36" s="36"/>
      <c r="H36" s="37"/>
      <c r="I36" s="37"/>
      <c r="J36" s="38">
        <v>0.3</v>
      </c>
      <c r="K36" s="36"/>
      <c r="L36" s="37"/>
      <c r="M36" s="37"/>
      <c r="N36" s="38"/>
      <c r="O36" s="36"/>
      <c r="P36" s="37"/>
      <c r="Q36" s="37"/>
      <c r="R36" s="38"/>
      <c r="S36" s="36"/>
      <c r="T36" s="37"/>
      <c r="U36" s="37"/>
      <c r="V36" s="39"/>
    </row>
    <row r="37" spans="1:22" x14ac:dyDescent="0.25">
      <c r="A37" s="6" t="s">
        <v>47</v>
      </c>
      <c r="B37" s="7" t="s">
        <v>48</v>
      </c>
      <c r="C37" s="8" t="s">
        <v>49</v>
      </c>
      <c r="D37" s="8" t="s">
        <v>12</v>
      </c>
      <c r="E37" s="9" t="s">
        <v>50</v>
      </c>
      <c r="F37" s="63" t="s">
        <v>70</v>
      </c>
      <c r="G37" s="10"/>
      <c r="J37" s="26">
        <v>0.25</v>
      </c>
      <c r="K37" s="10"/>
      <c r="N37" s="26">
        <v>0.25</v>
      </c>
      <c r="O37" s="10"/>
      <c r="P37" s="1"/>
      <c r="Q37" s="1"/>
      <c r="R37" s="26"/>
      <c r="S37" s="10"/>
      <c r="V37" s="11"/>
    </row>
    <row r="38" spans="1:22" x14ac:dyDescent="0.25">
      <c r="A38" s="6" t="s">
        <v>47</v>
      </c>
      <c r="B38" s="7" t="s">
        <v>48</v>
      </c>
      <c r="C38" s="8" t="s">
        <v>51</v>
      </c>
      <c r="D38" s="8" t="s">
        <v>12</v>
      </c>
      <c r="E38" s="9" t="s">
        <v>50</v>
      </c>
      <c r="F38" s="63" t="s">
        <v>70</v>
      </c>
      <c r="G38" s="10"/>
      <c r="J38" s="26">
        <v>0.2</v>
      </c>
      <c r="K38" s="10"/>
      <c r="N38" s="26">
        <v>0.15</v>
      </c>
      <c r="O38" s="10"/>
      <c r="P38" s="1"/>
      <c r="Q38" s="1"/>
      <c r="R38" s="26">
        <v>0.2</v>
      </c>
      <c r="S38" s="10"/>
      <c r="V38" s="26"/>
    </row>
    <row r="39" spans="1:22" x14ac:dyDescent="0.25">
      <c r="A39" s="6" t="s">
        <v>47</v>
      </c>
      <c r="B39" s="7" t="s">
        <v>48</v>
      </c>
      <c r="C39" s="8" t="s">
        <v>52</v>
      </c>
      <c r="D39" s="8" t="s">
        <v>12</v>
      </c>
      <c r="E39" s="9" t="s">
        <v>50</v>
      </c>
      <c r="F39" s="63" t="s">
        <v>69</v>
      </c>
      <c r="G39" s="10"/>
      <c r="J39" s="26">
        <v>0.15</v>
      </c>
      <c r="K39" s="10"/>
      <c r="N39" s="26"/>
      <c r="O39" s="10"/>
      <c r="P39" s="1"/>
      <c r="Q39" s="1"/>
      <c r="R39" s="26"/>
      <c r="S39" s="10"/>
      <c r="V39" s="26"/>
    </row>
    <row r="40" spans="1:22" x14ac:dyDescent="0.25">
      <c r="A40" s="6" t="s">
        <v>47</v>
      </c>
      <c r="B40" s="7" t="s">
        <v>48</v>
      </c>
      <c r="C40" s="8" t="s">
        <v>53</v>
      </c>
      <c r="D40" s="8" t="s">
        <v>12</v>
      </c>
      <c r="E40" s="9" t="s">
        <v>50</v>
      </c>
      <c r="F40" s="63" t="s">
        <v>68</v>
      </c>
      <c r="G40" s="10"/>
      <c r="J40" s="26">
        <v>0.1</v>
      </c>
      <c r="K40" s="10"/>
      <c r="N40" s="26"/>
      <c r="O40" s="10"/>
      <c r="P40" s="1"/>
      <c r="Q40" s="1"/>
      <c r="R40" s="26"/>
      <c r="S40" s="10"/>
      <c r="V40" s="26"/>
    </row>
    <row r="41" spans="1:22" x14ac:dyDescent="0.25">
      <c r="A41" s="6" t="s">
        <v>47</v>
      </c>
      <c r="B41" s="7" t="s">
        <v>48</v>
      </c>
      <c r="C41" s="8" t="s">
        <v>54</v>
      </c>
      <c r="D41" s="8" t="s">
        <v>12</v>
      </c>
      <c r="E41" s="9" t="s">
        <v>60</v>
      </c>
      <c r="F41" s="63" t="s">
        <v>70</v>
      </c>
      <c r="G41" s="10"/>
      <c r="J41" s="26"/>
      <c r="K41" s="10"/>
      <c r="N41" s="26">
        <v>0.35</v>
      </c>
      <c r="O41" s="10"/>
      <c r="P41" s="1"/>
      <c r="Q41" s="1"/>
      <c r="R41" s="26"/>
      <c r="S41" s="10"/>
      <c r="V41" s="26"/>
    </row>
    <row r="42" spans="1:22" x14ac:dyDescent="0.25">
      <c r="A42" s="6" t="s">
        <v>47</v>
      </c>
      <c r="B42" s="7" t="s">
        <v>48</v>
      </c>
      <c r="C42" s="8" t="s">
        <v>56</v>
      </c>
      <c r="D42" s="8" t="s">
        <v>12</v>
      </c>
      <c r="E42" s="9" t="s">
        <v>60</v>
      </c>
      <c r="F42" s="63" t="s">
        <v>69</v>
      </c>
      <c r="G42" s="10"/>
      <c r="J42" s="11"/>
      <c r="K42" s="10"/>
      <c r="N42" s="26">
        <v>0.2</v>
      </c>
      <c r="O42" s="10"/>
      <c r="P42" s="1"/>
      <c r="Q42" s="1"/>
      <c r="R42" s="26"/>
      <c r="S42" s="10"/>
      <c r="V42" s="26"/>
    </row>
    <row r="43" spans="1:22" x14ac:dyDescent="0.25">
      <c r="A43" s="6" t="s">
        <v>47</v>
      </c>
      <c r="B43" s="7" t="s">
        <v>48</v>
      </c>
      <c r="C43" s="8" t="s">
        <v>57</v>
      </c>
      <c r="D43" s="8" t="s">
        <v>12</v>
      </c>
      <c r="E43" s="9" t="s">
        <v>60</v>
      </c>
      <c r="F43" s="63" t="s">
        <v>69</v>
      </c>
      <c r="G43" s="10"/>
      <c r="J43" s="11"/>
      <c r="K43" s="10"/>
      <c r="N43" s="26">
        <v>0.05</v>
      </c>
      <c r="O43" s="10"/>
      <c r="P43" s="1"/>
      <c r="Q43" s="1"/>
      <c r="R43" s="26"/>
      <c r="S43" s="10"/>
      <c r="V43" s="26"/>
    </row>
    <row r="44" spans="1:22" x14ac:dyDescent="0.25">
      <c r="A44" s="6" t="s">
        <v>47</v>
      </c>
      <c r="B44" s="7" t="s">
        <v>48</v>
      </c>
      <c r="C44" s="8" t="s">
        <v>58</v>
      </c>
      <c r="D44" s="8" t="s">
        <v>12</v>
      </c>
      <c r="E44" s="9" t="s">
        <v>60</v>
      </c>
      <c r="F44" s="63" t="s">
        <v>69</v>
      </c>
      <c r="G44" s="10"/>
      <c r="J44" s="11"/>
      <c r="K44" s="10"/>
      <c r="N44" s="11"/>
      <c r="O44" s="10"/>
      <c r="P44" s="1"/>
      <c r="Q44" s="1"/>
      <c r="R44" s="26">
        <v>0.3</v>
      </c>
      <c r="S44" s="10"/>
      <c r="V44" s="26"/>
    </row>
    <row r="45" spans="1:22" x14ac:dyDescent="0.25">
      <c r="A45" s="6" t="s">
        <v>47</v>
      </c>
      <c r="B45" s="7" t="s">
        <v>48</v>
      </c>
      <c r="C45" s="8" t="s">
        <v>59</v>
      </c>
      <c r="D45" s="8" t="s">
        <v>12</v>
      </c>
      <c r="E45" s="9" t="s">
        <v>60</v>
      </c>
      <c r="F45" s="63" t="s">
        <v>69</v>
      </c>
      <c r="G45" s="10"/>
      <c r="J45" s="11"/>
      <c r="K45" s="10"/>
      <c r="N45" s="11"/>
      <c r="O45" s="10"/>
      <c r="P45" s="1"/>
      <c r="Q45" s="1"/>
      <c r="R45" s="26">
        <v>0.25</v>
      </c>
      <c r="S45" s="10"/>
      <c r="V45" s="26"/>
    </row>
    <row r="46" spans="1:22" x14ac:dyDescent="0.25">
      <c r="A46" s="6" t="s">
        <v>47</v>
      </c>
      <c r="B46" s="7" t="s">
        <v>48</v>
      </c>
      <c r="C46" s="8" t="s">
        <v>61</v>
      </c>
      <c r="D46" s="8" t="s">
        <v>12</v>
      </c>
      <c r="E46" s="9" t="s">
        <v>60</v>
      </c>
      <c r="F46" s="63" t="s">
        <v>69</v>
      </c>
      <c r="G46" s="10"/>
      <c r="J46" s="11"/>
      <c r="K46" s="10"/>
      <c r="N46" s="11"/>
      <c r="O46" s="10"/>
      <c r="P46" s="1"/>
      <c r="Q46" s="1"/>
      <c r="R46" s="26">
        <v>0.15</v>
      </c>
      <c r="S46" s="10"/>
      <c r="V46" s="26"/>
    </row>
    <row r="47" spans="1:22" x14ac:dyDescent="0.25">
      <c r="A47" s="6" t="s">
        <v>47</v>
      </c>
      <c r="B47" s="7" t="s">
        <v>48</v>
      </c>
      <c r="C47" s="8" t="s">
        <v>62</v>
      </c>
      <c r="D47" s="8" t="s">
        <v>12</v>
      </c>
      <c r="E47" s="9" t="s">
        <v>60</v>
      </c>
      <c r="F47" s="63" t="s">
        <v>70</v>
      </c>
      <c r="G47" s="10"/>
      <c r="J47" s="11"/>
      <c r="K47" s="10"/>
      <c r="N47" s="11"/>
      <c r="O47" s="10"/>
      <c r="P47" s="1"/>
      <c r="Q47" s="1"/>
      <c r="R47" s="26">
        <v>0.1</v>
      </c>
      <c r="S47" s="10"/>
      <c r="V47" s="26"/>
    </row>
    <row r="48" spans="1:22" x14ac:dyDescent="0.25">
      <c r="A48" s="6" t="s">
        <v>47</v>
      </c>
      <c r="B48" s="7" t="s">
        <v>48</v>
      </c>
      <c r="C48" s="8" t="s">
        <v>63</v>
      </c>
      <c r="D48" s="8" t="s">
        <v>12</v>
      </c>
      <c r="E48" s="9" t="s">
        <v>60</v>
      </c>
      <c r="F48" s="63" t="s">
        <v>69</v>
      </c>
      <c r="G48" s="10"/>
      <c r="J48" s="11"/>
      <c r="K48" s="10"/>
      <c r="N48" s="11"/>
      <c r="O48" s="10"/>
      <c r="P48" s="1"/>
      <c r="Q48" s="1"/>
      <c r="R48" s="26"/>
      <c r="S48" s="10"/>
      <c r="V48" s="26">
        <v>0.45</v>
      </c>
    </row>
    <row r="49" spans="1:22" x14ac:dyDescent="0.25">
      <c r="A49" s="6" t="s">
        <v>47</v>
      </c>
      <c r="B49" s="7" t="s">
        <v>48</v>
      </c>
      <c r="C49" s="8" t="s">
        <v>64</v>
      </c>
      <c r="D49" s="8" t="s">
        <v>12</v>
      </c>
      <c r="E49" s="9" t="s">
        <v>60</v>
      </c>
      <c r="F49" s="63" t="s">
        <v>69</v>
      </c>
      <c r="G49" s="10"/>
      <c r="J49" s="11"/>
      <c r="K49" s="10"/>
      <c r="N49" s="11"/>
      <c r="O49" s="10"/>
      <c r="P49" s="1"/>
      <c r="Q49" s="1"/>
      <c r="R49" s="26"/>
      <c r="S49" s="10"/>
      <c r="V49" s="26">
        <v>0.25</v>
      </c>
    </row>
    <row r="50" spans="1:22" x14ac:dyDescent="0.25">
      <c r="A50" s="6" t="s">
        <v>47</v>
      </c>
      <c r="B50" s="7" t="s">
        <v>48</v>
      </c>
      <c r="C50" s="8" t="s">
        <v>65</v>
      </c>
      <c r="D50" s="8" t="s">
        <v>12</v>
      </c>
      <c r="E50" s="9" t="s">
        <v>60</v>
      </c>
      <c r="F50" s="63" t="s">
        <v>69</v>
      </c>
      <c r="G50" s="10"/>
      <c r="J50" s="11"/>
      <c r="K50" s="10"/>
      <c r="N50" s="11"/>
      <c r="O50" s="10"/>
      <c r="P50" s="1"/>
      <c r="Q50" s="1"/>
      <c r="R50" s="26"/>
      <c r="S50" s="10"/>
      <c r="V50" s="26">
        <v>0.2</v>
      </c>
    </row>
    <row r="51" spans="1:22" x14ac:dyDescent="0.25">
      <c r="A51" s="6" t="s">
        <v>47</v>
      </c>
      <c r="B51" s="7" t="s">
        <v>48</v>
      </c>
      <c r="C51" s="8" t="s">
        <v>66</v>
      </c>
      <c r="D51" s="8" t="s">
        <v>12</v>
      </c>
      <c r="E51" s="9" t="s">
        <v>60</v>
      </c>
      <c r="F51" s="63" t="s">
        <v>68</v>
      </c>
      <c r="G51" s="10"/>
      <c r="J51" s="11"/>
      <c r="K51" s="10"/>
      <c r="N51" s="11"/>
      <c r="O51" s="10"/>
      <c r="P51" s="1"/>
      <c r="Q51" s="1"/>
      <c r="R51" s="26"/>
      <c r="S51" s="10"/>
      <c r="V51" s="26">
        <v>0.1</v>
      </c>
    </row>
    <row r="52" spans="1:22" x14ac:dyDescent="0.25">
      <c r="A52" s="6"/>
      <c r="B52" s="7"/>
      <c r="C52" s="8"/>
      <c r="D52" s="8"/>
      <c r="E52" s="9"/>
      <c r="F52" s="59"/>
      <c r="G52" s="10"/>
      <c r="J52" s="11"/>
      <c r="K52" s="10"/>
      <c r="N52" s="11"/>
      <c r="O52" s="10"/>
      <c r="P52" s="1"/>
      <c r="Q52" s="1"/>
      <c r="R52" s="26"/>
      <c r="S52" s="10"/>
      <c r="V52" s="26"/>
    </row>
    <row r="53" spans="1:22" ht="16.5" thickBot="1" x14ac:dyDescent="0.3">
      <c r="A53" s="69" t="s">
        <v>104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1"/>
    </row>
    <row r="54" spans="1:22" ht="45" x14ac:dyDescent="0.25">
      <c r="A54" s="1" t="s">
        <v>105</v>
      </c>
      <c r="B54" s="1" t="s">
        <v>106</v>
      </c>
      <c r="C54" s="2" t="s">
        <v>107</v>
      </c>
      <c r="D54" s="2" t="s">
        <v>12</v>
      </c>
      <c r="E54" s="2" t="s">
        <v>108</v>
      </c>
      <c r="F54" s="2" t="s">
        <v>69</v>
      </c>
      <c r="G54" s="5" t="s">
        <v>19</v>
      </c>
      <c r="H54" s="1">
        <v>0.05</v>
      </c>
      <c r="I54" s="1" t="s">
        <v>85</v>
      </c>
      <c r="K54" s="3" t="s">
        <v>19</v>
      </c>
      <c r="L54" s="1">
        <v>0.05</v>
      </c>
      <c r="M54" s="1" t="s">
        <v>85</v>
      </c>
      <c r="O54" s="3" t="s">
        <v>19</v>
      </c>
      <c r="P54" s="4">
        <v>0.05</v>
      </c>
      <c r="Q54" s="4" t="s">
        <v>85</v>
      </c>
      <c r="S54" s="3" t="s">
        <v>19</v>
      </c>
      <c r="T54" s="1">
        <v>0.05</v>
      </c>
      <c r="U54" s="1" t="s">
        <v>85</v>
      </c>
    </row>
    <row r="55" spans="1:22" ht="30" x14ac:dyDescent="0.25">
      <c r="A55" s="1" t="s">
        <v>105</v>
      </c>
      <c r="B55" s="1" t="s">
        <v>106</v>
      </c>
      <c r="C55" s="2" t="s">
        <v>109</v>
      </c>
      <c r="D55" s="2" t="s">
        <v>12</v>
      </c>
      <c r="E55" s="2" t="s">
        <v>110</v>
      </c>
      <c r="F55" s="2" t="s">
        <v>69</v>
      </c>
      <c r="G55" s="5" t="s">
        <v>19</v>
      </c>
      <c r="H55" s="1" t="s">
        <v>85</v>
      </c>
      <c r="I55" s="1" t="s">
        <v>85</v>
      </c>
      <c r="K55" s="3" t="s">
        <v>19</v>
      </c>
      <c r="L55" s="1" t="s">
        <v>85</v>
      </c>
      <c r="M55" s="1" t="s">
        <v>85</v>
      </c>
      <c r="O55" s="3" t="s">
        <v>25</v>
      </c>
      <c r="S55" s="3" t="s">
        <v>25</v>
      </c>
    </row>
    <row r="56" spans="1:22" ht="30" x14ac:dyDescent="0.25">
      <c r="A56" s="1" t="s">
        <v>105</v>
      </c>
      <c r="B56" s="1" t="s">
        <v>106</v>
      </c>
      <c r="C56" s="2" t="s">
        <v>111</v>
      </c>
      <c r="D56" s="2" t="s">
        <v>12</v>
      </c>
      <c r="E56" s="2" t="s">
        <v>112</v>
      </c>
      <c r="F56" s="2" t="s">
        <v>69</v>
      </c>
      <c r="G56" s="5" t="s">
        <v>25</v>
      </c>
      <c r="K56" s="3" t="s">
        <v>25</v>
      </c>
      <c r="O56" s="3" t="s">
        <v>19</v>
      </c>
      <c r="P56" s="4" t="s">
        <v>85</v>
      </c>
      <c r="Q56" s="4" t="s">
        <v>85</v>
      </c>
      <c r="S56" s="3" t="s">
        <v>19</v>
      </c>
      <c r="T56" s="1" t="s">
        <v>85</v>
      </c>
      <c r="U56" s="1" t="s">
        <v>85</v>
      </c>
    </row>
    <row r="57" spans="1:22" ht="30" x14ac:dyDescent="0.25">
      <c r="A57" s="1" t="s">
        <v>105</v>
      </c>
      <c r="B57" s="1" t="s">
        <v>106</v>
      </c>
      <c r="C57" s="2" t="s">
        <v>113</v>
      </c>
      <c r="D57" s="2" t="s">
        <v>12</v>
      </c>
      <c r="E57" s="2" t="s">
        <v>114</v>
      </c>
      <c r="F57" s="2" t="s">
        <v>69</v>
      </c>
      <c r="G57" s="5" t="s">
        <v>19</v>
      </c>
      <c r="H57" s="1" t="s">
        <v>85</v>
      </c>
      <c r="I57" s="1" t="s">
        <v>85</v>
      </c>
      <c r="K57" s="3" t="s">
        <v>19</v>
      </c>
      <c r="L57" s="1" t="s">
        <v>85</v>
      </c>
      <c r="M57" s="1" t="s">
        <v>85</v>
      </c>
      <c r="O57" s="3" t="s">
        <v>25</v>
      </c>
      <c r="S57" s="3" t="s">
        <v>25</v>
      </c>
    </row>
    <row r="58" spans="1:22" x14ac:dyDescent="0.25">
      <c r="A58" s="1" t="s">
        <v>105</v>
      </c>
      <c r="B58" s="1" t="s">
        <v>115</v>
      </c>
      <c r="C58" s="2" t="s">
        <v>116</v>
      </c>
      <c r="D58" s="2" t="s">
        <v>12</v>
      </c>
      <c r="E58" s="2" t="s">
        <v>117</v>
      </c>
      <c r="F58" s="2" t="s">
        <v>68</v>
      </c>
      <c r="G58" s="5" t="s">
        <v>19</v>
      </c>
      <c r="H58" s="1" t="s">
        <v>85</v>
      </c>
      <c r="I58" s="1" t="s">
        <v>85</v>
      </c>
      <c r="K58" s="3" t="s">
        <v>19</v>
      </c>
      <c r="L58" s="1" t="s">
        <v>85</v>
      </c>
      <c r="M58" s="1" t="s">
        <v>85</v>
      </c>
      <c r="O58" s="3" t="s">
        <v>19</v>
      </c>
      <c r="P58" s="4" t="s">
        <v>85</v>
      </c>
      <c r="Q58" s="4" t="s">
        <v>85</v>
      </c>
      <c r="S58" s="3" t="s">
        <v>19</v>
      </c>
      <c r="T58" s="1" t="s">
        <v>85</v>
      </c>
      <c r="U58" s="1" t="s">
        <v>85</v>
      </c>
    </row>
    <row r="60" spans="1:22" ht="15.75" x14ac:dyDescent="0.25">
      <c r="A60" s="76" t="s">
        <v>118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</row>
    <row r="61" spans="1:22" x14ac:dyDescent="0.25">
      <c r="A61" s="72" t="s">
        <v>119</v>
      </c>
      <c r="B61" s="72" t="s">
        <v>120</v>
      </c>
    </row>
    <row r="62" spans="1:22" x14ac:dyDescent="0.25">
      <c r="A62" s="73" t="s">
        <v>121</v>
      </c>
      <c r="B62" s="1" t="s">
        <v>122</v>
      </c>
    </row>
    <row r="63" spans="1:22" x14ac:dyDescent="0.25">
      <c r="A63" s="74" t="s">
        <v>123</v>
      </c>
      <c r="B63" s="1" t="s">
        <v>124</v>
      </c>
    </row>
    <row r="64" spans="1:22" x14ac:dyDescent="0.25">
      <c r="A64" s="75" t="s">
        <v>125</v>
      </c>
      <c r="B64" s="1" t="s">
        <v>126</v>
      </c>
    </row>
    <row r="65" spans="1:22" x14ac:dyDescent="0.25">
      <c r="A65" s="77" t="s">
        <v>127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</row>
    <row r="67" spans="1:22" ht="15.75" x14ac:dyDescent="0.25">
      <c r="A67" s="76" t="s">
        <v>128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</row>
    <row r="68" spans="1:22" ht="30" customHeight="1" x14ac:dyDescent="0.25">
      <c r="A68" s="81" t="s">
        <v>129</v>
      </c>
      <c r="B68" s="81"/>
      <c r="C68" s="81"/>
      <c r="D68" s="81"/>
      <c r="E68" s="81"/>
      <c r="F68" s="81"/>
      <c r="G68" s="82" t="s">
        <v>130</v>
      </c>
      <c r="H68" s="82"/>
      <c r="I68" s="82"/>
      <c r="K68" s="81" t="s">
        <v>7</v>
      </c>
      <c r="L68" s="81"/>
      <c r="M68" s="81"/>
      <c r="O68" s="81" t="s">
        <v>26</v>
      </c>
      <c r="P68" s="81"/>
      <c r="Q68" s="81"/>
      <c r="S68" s="81" t="s">
        <v>8</v>
      </c>
      <c r="T68" s="81"/>
      <c r="U68" s="81"/>
    </row>
    <row r="69" spans="1:22" x14ac:dyDescent="0.25">
      <c r="A69" s="78" t="s">
        <v>131</v>
      </c>
      <c r="B69" s="78"/>
      <c r="C69" s="78"/>
      <c r="D69" s="78"/>
      <c r="E69" s="78"/>
      <c r="F69" s="78"/>
      <c r="G69" s="79">
        <v>2500</v>
      </c>
      <c r="H69" s="79"/>
      <c r="I69" s="79"/>
      <c r="K69" s="80">
        <v>1000</v>
      </c>
      <c r="L69" s="80"/>
      <c r="M69" s="80"/>
      <c r="O69" s="80">
        <v>1000</v>
      </c>
      <c r="P69" s="80"/>
      <c r="Q69" s="80"/>
      <c r="S69" s="80">
        <v>500</v>
      </c>
      <c r="T69" s="80"/>
      <c r="U69" s="80"/>
    </row>
    <row r="70" spans="1:22" x14ac:dyDescent="0.25">
      <c r="A70" s="78" t="s">
        <v>132</v>
      </c>
      <c r="B70" s="78"/>
      <c r="C70" s="78"/>
      <c r="D70" s="78"/>
      <c r="E70" s="78"/>
      <c r="F70" s="78"/>
      <c r="G70" s="79">
        <v>30</v>
      </c>
      <c r="H70" s="79"/>
      <c r="I70" s="79"/>
      <c r="K70" s="80">
        <v>14</v>
      </c>
      <c r="L70" s="80"/>
      <c r="M70" s="80"/>
      <c r="O70" s="80">
        <v>35</v>
      </c>
      <c r="P70" s="80"/>
      <c r="Q70" s="80"/>
      <c r="S70" s="80">
        <v>45</v>
      </c>
      <c r="T70" s="80"/>
      <c r="U70" s="80"/>
    </row>
    <row r="71" spans="1:22" x14ac:dyDescent="0.25">
      <c r="A71" s="78" t="s">
        <v>133</v>
      </c>
      <c r="B71" s="78"/>
      <c r="C71" s="78"/>
      <c r="D71" s="78"/>
      <c r="E71" s="78"/>
      <c r="F71" s="78"/>
      <c r="G71" s="79" t="s">
        <v>134</v>
      </c>
      <c r="H71" s="79"/>
      <c r="I71" s="79"/>
      <c r="K71" s="80" t="s">
        <v>135</v>
      </c>
      <c r="L71" s="80"/>
      <c r="M71" s="80"/>
      <c r="O71" s="80" t="s">
        <v>134</v>
      </c>
      <c r="P71" s="80"/>
      <c r="Q71" s="80"/>
      <c r="S71" s="80" t="s">
        <v>134</v>
      </c>
      <c r="T71" s="80"/>
      <c r="U71" s="80"/>
    </row>
    <row r="72" spans="1:22" x14ac:dyDescent="0.25">
      <c r="A72" s="78" t="s">
        <v>136</v>
      </c>
      <c r="B72" s="78"/>
      <c r="C72" s="78"/>
      <c r="D72" s="78"/>
      <c r="E72" s="78"/>
      <c r="F72" s="78"/>
      <c r="G72" s="79">
        <v>20</v>
      </c>
      <c r="H72" s="79"/>
      <c r="I72" s="79"/>
      <c r="K72" s="80">
        <v>20</v>
      </c>
      <c r="L72" s="80"/>
      <c r="M72" s="80"/>
      <c r="O72" s="80">
        <v>20</v>
      </c>
      <c r="P72" s="80"/>
      <c r="Q72" s="80"/>
      <c r="S72" s="80">
        <v>20</v>
      </c>
      <c r="T72" s="80"/>
      <c r="U72" s="80"/>
    </row>
  </sheetData>
  <mergeCells count="40">
    <mergeCell ref="A68:F68"/>
    <mergeCell ref="G68:I68"/>
    <mergeCell ref="K68:M68"/>
    <mergeCell ref="O68:Q68"/>
    <mergeCell ref="S68:U68"/>
    <mergeCell ref="K71:M71"/>
    <mergeCell ref="O71:Q71"/>
    <mergeCell ref="S71:U71"/>
    <mergeCell ref="G72:I72"/>
    <mergeCell ref="K72:M72"/>
    <mergeCell ref="O72:Q72"/>
    <mergeCell ref="S72:U72"/>
    <mergeCell ref="K69:M69"/>
    <mergeCell ref="O69:Q69"/>
    <mergeCell ref="S69:U69"/>
    <mergeCell ref="G70:I70"/>
    <mergeCell ref="K70:M70"/>
    <mergeCell ref="O70:Q70"/>
    <mergeCell ref="S70:U70"/>
    <mergeCell ref="A69:F69"/>
    <mergeCell ref="A70:F70"/>
    <mergeCell ref="A71:F71"/>
    <mergeCell ref="A72:F72"/>
    <mergeCell ref="G69:I69"/>
    <mergeCell ref="G71:I71"/>
    <mergeCell ref="A35:V35"/>
    <mergeCell ref="A53:V53"/>
    <mergeCell ref="A60:V60"/>
    <mergeCell ref="A65:V65"/>
    <mergeCell ref="A67:V67"/>
    <mergeCell ref="S1:V1"/>
    <mergeCell ref="T2:U2"/>
    <mergeCell ref="K1:N1"/>
    <mergeCell ref="O1:R1"/>
    <mergeCell ref="A2:E2"/>
    <mergeCell ref="A1:E1"/>
    <mergeCell ref="G1:J1"/>
    <mergeCell ref="P2:Q2"/>
    <mergeCell ref="L2:M2"/>
    <mergeCell ref="H2:I2"/>
  </mergeCells>
  <conditionalFormatting sqref="J3">
    <cfRule type="cellIs" dxfId="27" priority="7" stopIfTrue="1" operator="equal">
      <formula>1</formula>
    </cfRule>
    <cfRule type="cellIs" dxfId="26" priority="8" operator="notEqual">
      <formula>1</formula>
    </cfRule>
  </conditionalFormatting>
  <conditionalFormatting sqref="N3">
    <cfRule type="cellIs" dxfId="25" priority="5" stopIfTrue="1" operator="equal">
      <formula>1</formula>
    </cfRule>
    <cfRule type="cellIs" dxfId="24" priority="6" operator="notEqual">
      <formula>1</formula>
    </cfRule>
  </conditionalFormatting>
  <conditionalFormatting sqref="R3">
    <cfRule type="cellIs" dxfId="23" priority="3" stopIfTrue="1" operator="equal">
      <formula>1</formula>
    </cfRule>
    <cfRule type="cellIs" dxfId="22" priority="4" operator="notEqual">
      <formula>1</formula>
    </cfRule>
  </conditionalFormatting>
  <conditionalFormatting sqref="V3">
    <cfRule type="cellIs" dxfId="21" priority="1" stopIfTrue="1" operator="equal">
      <formula>1</formula>
    </cfRule>
    <cfRule type="cellIs" dxfId="20" priority="2" operator="notEqual">
      <formula>1</formula>
    </cfRule>
  </conditionalFormatting>
  <conditionalFormatting sqref="G4:J34">
    <cfRule type="expression" dxfId="11" priority="9">
      <formula>$G4="N"</formula>
    </cfRule>
  </conditionalFormatting>
  <conditionalFormatting sqref="G54:J58">
    <cfRule type="expression" dxfId="10" priority="10">
      <formula>$G54="N"</formula>
    </cfRule>
  </conditionalFormatting>
  <conditionalFormatting sqref="K4:N34">
    <cfRule type="expression" dxfId="9" priority="11">
      <formula>$K4="N"</formula>
    </cfRule>
  </conditionalFormatting>
  <conditionalFormatting sqref="K54:N58">
    <cfRule type="expression" dxfId="8" priority="12">
      <formula>$K54="N"</formula>
    </cfRule>
  </conditionalFormatting>
  <conditionalFormatting sqref="O4:R34">
    <cfRule type="expression" dxfId="7" priority="13">
      <formula>$O4="N"</formula>
    </cfRule>
  </conditionalFormatting>
  <conditionalFormatting sqref="O54:R58">
    <cfRule type="expression" dxfId="6" priority="14">
      <formula>$O54="N"</formula>
    </cfRule>
  </conditionalFormatting>
  <conditionalFormatting sqref="S4:V34">
    <cfRule type="expression" dxfId="5" priority="15">
      <formula>$S4="N"</formula>
    </cfRule>
  </conditionalFormatting>
  <conditionalFormatting sqref="S54:V58">
    <cfRule type="expression" dxfId="4" priority="16">
      <formula>$S54="N"</formula>
    </cfRule>
  </conditionalFormatting>
  <conditionalFormatting sqref="G36:J51">
    <cfRule type="expression" dxfId="3" priority="17">
      <formula>ISBLANK($J36)</formula>
    </cfRule>
  </conditionalFormatting>
  <conditionalFormatting sqref="K36:N51">
    <cfRule type="expression" dxfId="2" priority="18">
      <formula>ISBLANK($N36)</formula>
    </cfRule>
  </conditionalFormatting>
  <conditionalFormatting sqref="O36:R51">
    <cfRule type="expression" dxfId="1" priority="19">
      <formula>ISBLANK($R36)</formula>
    </cfRule>
  </conditionalFormatting>
  <conditionalFormatting sqref="S36:V51">
    <cfRule type="expression" dxfId="0" priority="20">
      <formula>ISBLANK($V36)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1989-3D80-4F9F-A2F5-DF861F479E12}">
  <dimension ref="A1:H12"/>
  <sheetViews>
    <sheetView workbookViewId="0">
      <selection sqref="A1:E1"/>
    </sheetView>
  </sheetViews>
  <sheetFormatPr defaultRowHeight="15" x14ac:dyDescent="0.25"/>
  <cols>
    <col min="1" max="1" width="9.28515625" bestFit="1" customWidth="1"/>
    <col min="2" max="2" width="10.140625" bestFit="1" customWidth="1"/>
    <col min="3" max="3" width="10.42578125" bestFit="1" customWidth="1"/>
    <col min="4" max="5" width="16.28515625" bestFit="1" customWidth="1"/>
  </cols>
  <sheetData>
    <row r="1" spans="1:8" ht="15.75" x14ac:dyDescent="0.25">
      <c r="A1" s="83" t="s">
        <v>137</v>
      </c>
      <c r="B1" s="83"/>
      <c r="C1" s="83"/>
      <c r="D1" s="83"/>
      <c r="E1" s="83"/>
    </row>
    <row r="2" spans="1:8" x14ac:dyDescent="0.25">
      <c r="A2" s="85" t="s">
        <v>138</v>
      </c>
      <c r="B2" s="85" t="s">
        <v>139</v>
      </c>
      <c r="C2" s="85" t="s">
        <v>140</v>
      </c>
      <c r="D2" s="85" t="s">
        <v>141</v>
      </c>
      <c r="E2" s="85" t="s">
        <v>142</v>
      </c>
    </row>
    <row r="3" spans="1:8" x14ac:dyDescent="0.25">
      <c r="A3" s="86">
        <v>20</v>
      </c>
      <c r="B3" s="86">
        <v>50</v>
      </c>
      <c r="C3" s="86">
        <v>1</v>
      </c>
      <c r="D3" s="86">
        <v>5</v>
      </c>
      <c r="E3" s="86">
        <v>1</v>
      </c>
    </row>
    <row r="4" spans="1:8" x14ac:dyDescent="0.25">
      <c r="A4" s="86">
        <v>50</v>
      </c>
      <c r="B4" s="86">
        <v>150</v>
      </c>
      <c r="C4" s="86">
        <v>2.5</v>
      </c>
      <c r="D4" s="86">
        <v>10</v>
      </c>
      <c r="E4" s="86">
        <v>2.5</v>
      </c>
    </row>
    <row r="5" spans="1:8" x14ac:dyDescent="0.25">
      <c r="A5" s="86">
        <v>150</v>
      </c>
      <c r="B5" s="86">
        <v>300</v>
      </c>
      <c r="C5" s="86">
        <v>5</v>
      </c>
      <c r="D5" s="86">
        <v>20</v>
      </c>
      <c r="E5" s="86">
        <v>5</v>
      </c>
    </row>
    <row r="6" spans="1:8" x14ac:dyDescent="0.25">
      <c r="A6" s="86">
        <v>300</v>
      </c>
      <c r="B6" s="86">
        <v>500</v>
      </c>
      <c r="C6" s="86">
        <v>10</v>
      </c>
      <c r="D6" s="86">
        <v>25</v>
      </c>
      <c r="E6" s="86">
        <v>5</v>
      </c>
    </row>
    <row r="7" spans="1:8" x14ac:dyDescent="0.25">
      <c r="A7" s="86">
        <v>500</v>
      </c>
      <c r="B7" s="86">
        <v>99999</v>
      </c>
      <c r="C7" s="86">
        <v>25</v>
      </c>
      <c r="D7" s="86">
        <v>50</v>
      </c>
      <c r="E7" s="86">
        <v>5</v>
      </c>
    </row>
    <row r="9" spans="1:8" ht="15.75" x14ac:dyDescent="0.25">
      <c r="A9" s="83" t="s">
        <v>143</v>
      </c>
      <c r="B9" s="83"/>
      <c r="C9" s="83"/>
      <c r="D9" s="83"/>
      <c r="E9" s="83"/>
    </row>
    <row r="10" spans="1:8" x14ac:dyDescent="0.25">
      <c r="A10" s="85" t="s">
        <v>144</v>
      </c>
      <c r="B10" s="85" t="s">
        <v>140</v>
      </c>
      <c r="C10" s="85" t="s">
        <v>141</v>
      </c>
      <c r="D10" s="85" t="s">
        <v>142</v>
      </c>
      <c r="E10" s="85" t="s">
        <v>145</v>
      </c>
    </row>
    <row r="11" spans="1:8" x14ac:dyDescent="0.25">
      <c r="A11" s="86"/>
      <c r="B11" s="86"/>
      <c r="C11" s="86"/>
      <c r="D11" s="86"/>
      <c r="E11" s="86"/>
    </row>
    <row r="12" spans="1:8" x14ac:dyDescent="0.25">
      <c r="A12" s="84" t="s">
        <v>146</v>
      </c>
      <c r="B12" s="84"/>
      <c r="C12" s="84"/>
      <c r="D12" s="84"/>
      <c r="E12" s="84"/>
      <c r="F12" s="84"/>
      <c r="G12" s="84"/>
      <c r="H12" s="84"/>
    </row>
  </sheetData>
  <mergeCells count="3">
    <mergeCell ref="A1:E1"/>
    <mergeCell ref="A9:E9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Width 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Mishory</dc:creator>
  <cp:lastModifiedBy>Don Mishory</cp:lastModifiedBy>
  <dcterms:created xsi:type="dcterms:W3CDTF">2026-05-20T17:16:56Z</dcterms:created>
  <dcterms:modified xsi:type="dcterms:W3CDTF">2026-05-20T22:02:52Z</dcterms:modified>
</cp:coreProperties>
</file>