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etorgft18092069-my.sharepoint.com/personal/don_mishory_tmtctech_ai/Documents/VS Code Projects/Options Analyzer/options-analyzer/test plans/"/>
    </mc:Choice>
  </mc:AlternateContent>
  <xr:revisionPtr revIDLastSave="232" documentId="11_1C018CE69448429F656C64F554DCC6BFCFA30F12" xr6:coauthVersionLast="47" xr6:coauthVersionMax="47" xr10:uidLastSave="{065C0082-1B71-4FE8-9CB8-2F33C5AC83B2}"/>
  <bookViews>
    <workbookView xWindow="-120" yWindow="-120" windowWidth="29040" windowHeight="17520" xr2:uid="{00000000-000D-0000-FFFF-FFFF00000000}"/>
  </bookViews>
  <sheets>
    <sheet name="Group 6 Testing G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D60" i="1"/>
  <c r="D59" i="1"/>
  <c r="D58" i="1"/>
  <c r="D57" i="1"/>
</calcChain>
</file>

<file path=xl/sharedStrings.xml><?xml version="1.0" encoding="utf-8"?>
<sst xmlns="http://schemas.openxmlformats.org/spreadsheetml/2006/main" count="199" uniqueCount="111">
  <si>
    <t>Options Analyzer — Group 6 Manual Testing Gate</t>
  </si>
  <si>
    <t>Status options: PASS · FAIL · SKIP    |    Complete before starting Phase 2.9</t>
  </si>
  <si>
    <t>#</t>
  </si>
  <si>
    <t>Test Item</t>
  </si>
  <si>
    <t>Area</t>
  </si>
  <si>
    <t>Status</t>
  </si>
  <si>
    <t>Notes / Failure Detail</t>
  </si>
  <si>
    <t>VERTICALS PAGE</t>
  </si>
  <si>
    <t>Expand a trade row — all 4 columns render without console errors</t>
  </si>
  <si>
    <t>Verticals</t>
  </si>
  <si>
    <t>Column 3: each strategy row has a 'why' text line (9px italic muted)</t>
  </si>
  <si>
    <t>Column 4: updates immediately when clicking a different strategy row</t>
  </si>
  <si>
    <t>Click Evaluate — animated dots appear, context text shows below button</t>
  </si>
  <si>
    <t>Verdict arrives — all 3 body columns render (Claude's Read, Exit Plan, Pre-Screen)</t>
  </si>
  <si>
    <t>Switch strategy while verdict is visible — verdict collapses, button resets to default</t>
  </si>
  <si>
    <t>Expand second trade after evaluating first — no stale verdict visible</t>
  </si>
  <si>
    <t>FormulaBreakdown — real numbers shown, contributions sum to composite score</t>
  </si>
  <si>
    <t>PUTS &amp; CALLS PAGE</t>
  </si>
  <si>
    <t>Expand a trade row — Trend Rider and Lottery Ticket scored normally</t>
  </si>
  <si>
    <t>Puts &amp; Calls</t>
  </si>
  <si>
    <t>Steady Paycheck and Weekly Grind appear below dashed divider, dimmed</t>
  </si>
  <si>
    <t>Dimmed strategy rows show reason text (e.g. 'requires credit spread structure')</t>
  </si>
  <si>
    <t>Clicking a dimmed strategy row does nothing (not selectable)</t>
  </si>
  <si>
    <t>Evaluate an applicable strategy — verdict card renders correctly</t>
  </si>
  <si>
    <t>Verdict trade reference shows long option format — no sell strike, shows 'debit'</t>
  </si>
  <si>
    <t>WATCHLIST &amp; QUOTEBAR</t>
  </si>
  <si>
    <t>Watchlist sidebar shows live prices on page load (not dashes)</t>
  </si>
  <si>
    <t>Watchlist</t>
  </si>
  <si>
    <t>Click a different watchlist symbol — QuoteBar updates</t>
  </si>
  <si>
    <t>QuoteBar</t>
  </si>
  <si>
    <t>Symbol with earnings &lt; 14 days away — amber highlight on earnings date</t>
  </si>
  <si>
    <t>Symbol with earnings &gt; 60 days away — earnings field not shown at all</t>
  </si>
  <si>
    <t>No $ prefix on any value in QuoteBar</t>
  </si>
  <si>
    <t>SHARED &amp; GLOBAL</t>
  </si>
  <si>
    <t>Follow (Paper) on a verdict — Toast appears top-right with 'View Positions' link</t>
  </si>
  <si>
    <t>Toast</t>
  </si>
  <si>
    <t>Toast auto-dismisses after ~4 seconds</t>
  </si>
  <si>
    <t>No button on any page stretches to fill its container</t>
  </si>
  <si>
    <t>Buttons</t>
  </si>
  <si>
    <t>Left nav visible on all five pages with correct active state per page</t>
  </si>
  <si>
    <t>Nav</t>
  </si>
  <si>
    <t>No errors in browser console on any page</t>
  </si>
  <si>
    <t>General</t>
  </si>
  <si>
    <t>PASS count</t>
  </si>
  <si>
    <t>FAIL count</t>
  </si>
  <si>
    <t>Remaining (blank)</t>
  </si>
  <si>
    <t>1 and 2 render. 3 and 4 don't based on below.</t>
  </si>
  <si>
    <t>Pass</t>
  </si>
  <si>
    <t>Fail</t>
  </si>
  <si>
    <t>Likely related to 2.9</t>
  </si>
  <si>
    <t>Score Inconsistency</t>
  </si>
  <si>
    <t>Options Terminal</t>
  </si>
  <si>
    <t>Still not clear if pulling earnings date from fundamentals feed. Dividend data now longer showingl</t>
  </si>
  <si>
    <t>SKIP count</t>
  </si>
  <si>
    <t>Verticals, Puts/Calls, Future Screens</t>
  </si>
  <si>
    <t>Don't populate the analyze box with a symbol unless coming off of watchlist. If no symbol, have a message saying "enter a symbol to analyze [screen name]"</t>
  </si>
  <si>
    <t>Sorting</t>
  </si>
  <si>
    <t>All sort except for "type" make type sortable</t>
  </si>
  <si>
    <t>Config Drawer</t>
  </si>
  <si>
    <t>Sidebar</t>
  </si>
  <si>
    <t>Requirement</t>
  </si>
  <si>
    <t xml:space="preserve">I like the way watchlist pops out. Let's have a second popout for config drawer. Use that as the primary nav to config drawer. Use the gear icon to differentiate from watchlist. </t>
  </si>
  <si>
    <t>Chart</t>
  </si>
  <si>
    <t>Chart Date</t>
  </si>
  <si>
    <t xml:space="preserve">Default the chart date to today-90. Once a new date is selected, have that become the default for the session until a different start date is selected. </t>
  </si>
  <si>
    <t>Testing Data</t>
  </si>
  <si>
    <t>Application</t>
  </si>
  <si>
    <t>Save data I use in my test environment. Specifically, configuration, watchlist, etc. Do we need to set up a test db and prod db with a switch?</t>
  </si>
  <si>
    <t>Navigation</t>
  </si>
  <si>
    <t xml:space="preserve">When switching between pages after clicking analyze, when you come back, results are gone and you need to re-analyze. Represent previous results. </t>
  </si>
  <si>
    <t>Use mm-dd-yyyy hh:mm format for last analyzed date</t>
  </si>
  <si>
    <t>Date format</t>
  </si>
  <si>
    <t xml:space="preserve">ALWAYS Use mm-dd-yyyy format (with each build, mm/dd/yy or mm/dd/yyyy creeps back in. </t>
  </si>
  <si>
    <t>Theta Decay/Day Display Requirement | Format: "$21.60 / 2.45%" | Calculation: (theta per day ÷ total premium) × 100 | Display rule: Show percentage only when at or below configured threshold; dollar amount only when exceeded | Default threshold: 10% | Configurable in Settings | Edge cases: zero/null premium shows dollar only; threshold is inclusive (show both at exactly 10%); above threshold shows dollar only</t>
  </si>
  <si>
    <t>Theta Decay Display</t>
  </si>
  <si>
    <t>SECURITY STRATEGIES</t>
  </si>
  <si>
    <t>Security Strategies</t>
  </si>
  <si>
    <t>Currency Format</t>
  </si>
  <si>
    <t>Probability Matrix</t>
  </si>
  <si>
    <t>Max Profit/Max Loss display Strategy Evaluation Open Display in ##,###.00 format; zero shows 0.00; negatives show (6,200.00)</t>
  </si>
  <si>
    <t>ate/DTE display format Strategy Evaluation Open Replace Exp-N with 04-06-2026 (21d) format; show all returned dates; DTE calculated dynamically; 0d for same-day; no past dates</t>
  </si>
  <si>
    <t>Column header rename Strategy Evaluation Open Change "Date / Price" to "Date / Strike" across all strategy types</t>
  </si>
  <si>
    <t xml:space="preserve">Heatmap UI redesign Strategy Evaluation Open 0-33% red / 34-66% yellow / 67-100% green gradient; bold white centered text; current price </t>
  </si>
  <si>
    <t xml:space="preserve">Not seeing Toast. Just follow buttons. </t>
  </si>
  <si>
    <t>All buttons on security strategies page span full page</t>
  </si>
  <si>
    <t>Pending 2.9 changes</t>
  </si>
  <si>
    <t>Strategy Fit Panel</t>
  </si>
  <si>
    <t xml:space="preserve"> "Not Found" replaced with matched strategy parameters Strategy Evaluation Open When a strategy match exists, display the configured parameters that were applied to the search (e.g., delta range, DTE window, spread width, min premium) in the Strategy Fit panel; "Not Found" only when no strategy config exists for that type</t>
  </si>
  <si>
    <t xml:space="preserve">Score calculation breakdown display Strategy Evaluation Open Show each scoring component (Expected Value, Reward:Risk, Probability, </t>
  </si>
  <si>
    <t xml:space="preserve">Consistent expand/collapse behavior across screens Strategy Evaluation Open Strategy Fit panel behavior (expand on row click, collapse on </t>
  </si>
  <si>
    <t xml:space="preserve">Select a strategy to see details default state Strategy Evaluation Open When no row is selected, panel displays "Select a strategy to see </t>
  </si>
  <si>
    <t>REQUIREMENT count</t>
  </si>
  <si>
    <t>Last Analyzed Date/Time format</t>
  </si>
  <si>
    <t>43 Dashboard — Market Overview load performance Dashboard Requirement Load most recently cached values immediately on page load displayed in gray/muted style; replace with live data as it arrives; add "Last Updated mm-dd-yyyy hh:mm" label matching Options Terminal pattern; target live data in under 5 seconds</t>
  </si>
  <si>
    <t>44 Dashboard — Rename and redefine Favorites section Dashboard Requirement Rename "Most Recent Favorites" to "Most Recent Positions"; populate from actual position history not saved/favorited trades; show symbol, trade, strategy, score, and date opened</t>
  </si>
  <si>
    <t>45 Dashboard — Today's Actions section Dashboard Requirement New section below positions showing any alerts or thresholds reached today; examples: price alerts triggered, stop levels breached, exit targets hit; display as "Check MSFT — price crossed above $410 target"; only show items where condition is met today or action is scheduled today</t>
  </si>
  <si>
    <t>46 Dashboard — Current Positions Scorecard Dashboard Requirement New section showing a live scorecard for all open positions; include symbol, strategy, entry date, current P&amp;L, days remaining to expiration, and a status indicator (on track / watch / exit); mockup needed before build</t>
  </si>
  <si>
    <t>47 Dashboard — Backend data caching and refresh Dashboard Requirement All dashboard data (market overview, positions, alerts, scorecard) must be served from a cached backend process; cache refreshes on a recurring schedule and on manual refresh trigger; no section should make a live API call on page load; manual refresh button updates all sections simultaneously</t>
  </si>
  <si>
    <t>DASHBOARD</t>
  </si>
  <si>
    <t>Market Overview</t>
  </si>
  <si>
    <t>Favorites</t>
  </si>
  <si>
    <t>Today's Actions</t>
  </si>
  <si>
    <t>Current Positions Scorecard</t>
  </si>
  <si>
    <t>Backend Data Caching</t>
  </si>
  <si>
    <t>Dashboard</t>
  </si>
  <si>
    <t>Backend</t>
  </si>
  <si>
    <t>Load performance Dashboard Requirement Load most recently cached values immediately on page load displayed in gray/muted style; replace with live data as it arrives; add "Last Updated mm-dd-yyyy hh:mm" label matching Options Terminal pattern; target live data in under 5 seconds</t>
  </si>
  <si>
    <t>Rename and redefine Favorites section Dashboard Requirement Rename "Most Recent Favorites" to "Most Recent Positions"; populate from actual position history not saved/favorited trades; show symbol, trade, strategy, score, and date opened</t>
  </si>
  <si>
    <t>Today's Actions section Dashboard Requirement New section below positions showing any alerts or thresholds reached today; examples: price alerts triggered, stop levels breached, exit targets hit; display as "Check MSFT — price crossed above $410 target"; only show items where condition is met today or action is scheduled today</t>
  </si>
  <si>
    <t>Current Positions Scorecard Dashboard Requirement New section showing a live scorecard for all open positions; include symbol, strategy, entry date, current P&amp;L, days remaining to expiration, and a status indicator (on track / watch / exit); mockup needed before build</t>
  </si>
  <si>
    <t>Backend data caching and refresh Dashboard Requirement All dashboard data (market overview, positions, alerts, scorecard) must be served from a cached backend process; cache refreshes on a recurring schedule and on manual refresh trigger; no section should make a live API call on page load; manual refresh button updates all sections simultaneously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</si>
</sst>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color rgb="FF0F5C57"/>
      <name val="Arial"/>
      <family val="2"/>
    </font>
    <font>
      <i/>
      <sz val="9"/>
      <color rgb="FF8B949E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1A7F7A"/>
      <name val="Arial"/>
      <family val="2"/>
    </font>
    <font>
      <sz val="10"/>
      <color rgb="FF111827"/>
      <name val="Arial"/>
      <family val="2"/>
    </font>
    <font>
      <sz val="10"/>
      <color rgb="FF8B949E"/>
      <name val="Arial"/>
      <family val="2"/>
    </font>
    <font>
      <b/>
      <sz val="10"/>
      <color rgb="FF111827"/>
      <name val="Arial"/>
      <family val="2"/>
    </font>
    <font>
      <sz val="10"/>
      <color rgb="FF374151"/>
      <name val="Arial"/>
      <family val="2"/>
    </font>
    <font>
      <b/>
      <sz val="10"/>
      <color rgb="FF166534"/>
      <name val="Arial"/>
      <family val="2"/>
    </font>
    <font>
      <b/>
      <sz val="10"/>
      <color rgb="FF6B7280"/>
      <name val="Arial"/>
      <family val="2"/>
    </font>
    <font>
      <sz val="11"/>
      <color theme="1"/>
      <name val="Calibri"/>
      <family val="2"/>
      <scheme val="minor"/>
    </font>
    <font>
      <sz val="11"/>
      <color rgb="FF1A7F7A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0FAF9"/>
      </patternFill>
    </fill>
    <fill>
      <patternFill patternType="solid">
        <fgColor rgb="FF1A7F7A"/>
      </patternFill>
    </fill>
    <fill>
      <patternFill patternType="solid">
        <fgColor rgb="FF0F5C57"/>
      </patternFill>
    </fill>
    <fill>
      <patternFill patternType="solid">
        <fgColor rgb="FFEFF9F8"/>
      </patternFill>
    </fill>
    <fill>
      <patternFill patternType="solid">
        <fgColor rgb="FFFFFFFF"/>
      </patternFill>
    </fill>
    <fill>
      <patternFill patternType="solid">
        <fgColor rgb="FFF5F3FF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0FDF4"/>
      </patternFill>
    </fill>
    <fill>
      <patternFill patternType="solid">
        <fgColor rgb="FFF9FAFB"/>
      </patternFill>
    </fill>
    <fill>
      <patternFill patternType="solid">
        <fgColor rgb="FFF3F4F6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DD4B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medium">
        <color rgb="FF0F5C57"/>
      </top>
      <bottom style="medium">
        <color rgb="FF0F5C57"/>
      </bottom>
      <diagonal/>
    </border>
  </borders>
  <cellStyleXfs count="2">
    <xf numFmtId="0" fontId="0" fillId="0" borderId="0"/>
    <xf numFmtId="0" fontId="12" fillId="14" borderId="0" applyNumberFormat="0" applyBorder="0" applyAlignment="0" applyProtection="0"/>
  </cellStyleXfs>
  <cellXfs count="44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12" fillId="14" borderId="2" xfId="1" applyBorder="1" applyAlignment="1">
      <alignment horizontal="left" vertical="center" wrapText="1"/>
    </xf>
    <xf numFmtId="0" fontId="12" fillId="14" borderId="2" xfId="1" applyBorder="1" applyAlignment="1">
      <alignment horizontal="center" vertical="center" wrapText="1"/>
    </xf>
    <xf numFmtId="0" fontId="13" fillId="14" borderId="2" xfId="1" applyFont="1" applyBorder="1" applyAlignment="1">
      <alignment horizontal="center" vertical="center" wrapText="1"/>
    </xf>
    <xf numFmtId="0" fontId="12" fillId="14" borderId="0" xfId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13" borderId="2" xfId="0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/>
    <xf numFmtId="0" fontId="4" fillId="4" borderId="3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0" fillId="13" borderId="2" xfId="0" applyFill="1" applyBorder="1"/>
    <xf numFmtId="0" fontId="2" fillId="0" borderId="0" xfId="0" applyFont="1" applyAlignment="1">
      <alignment horizontal="left" vertical="center" wrapText="1"/>
    </xf>
    <xf numFmtId="0" fontId="13" fillId="15" borderId="2" xfId="1" applyFont="1" applyFill="1" applyBorder="1" applyAlignment="1">
      <alignment horizontal="center" vertical="center" wrapText="1"/>
    </xf>
    <xf numFmtId="0" fontId="12" fillId="15" borderId="2" xfId="1" applyFill="1" applyBorder="1" applyAlignment="1">
      <alignment horizontal="left" vertical="center" wrapText="1"/>
    </xf>
    <xf numFmtId="0" fontId="12" fillId="15" borderId="2" xfId="1" applyFill="1" applyBorder="1" applyAlignment="1">
      <alignment horizontal="center" vertical="center" wrapText="1"/>
    </xf>
    <xf numFmtId="0" fontId="12" fillId="15" borderId="0" xfId="1" applyFill="1" applyBorder="1" applyAlignment="1">
      <alignment horizontal="left" vertical="center" wrapText="1"/>
    </xf>
  </cellXfs>
  <cellStyles count="2">
    <cellStyle name="20% - Accent6" xfId="1" builtinId="50"/>
    <cellStyle name="Normal" xfId="0" builtinId="0"/>
  </cellStyles>
  <dxfs count="0"/>
  <tableStyles count="0" defaultTableStyle="TableStyleMedium9" defaultPivotStyle="PivotStyleLight16"/>
  <colors>
    <mruColors>
      <color rgb="FF1A7F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showGridLines="0" tabSelected="1" zoomScale="80" zoomScaleNormal="80" workbookViewId="0">
      <pane ySplit="3" topLeftCell="A4" activePane="bottomLeft" state="frozen"/>
      <selection pane="bottomLeft" activeCell="D48" sqref="D48"/>
    </sheetView>
  </sheetViews>
  <sheetFormatPr defaultRowHeight="15"/>
  <cols>
    <col min="1" max="1" width="5" customWidth="1"/>
    <col min="2" max="2" width="38" customWidth="1"/>
    <col min="3" max="3" width="22" customWidth="1"/>
    <col min="4" max="4" width="14.28515625" bestFit="1" customWidth="1"/>
    <col min="5" max="5" width="75" style="32" customWidth="1"/>
  </cols>
  <sheetData>
    <row r="1" spans="1:5">
      <c r="A1" s="34" t="s">
        <v>0</v>
      </c>
      <c r="B1" s="35"/>
      <c r="C1" s="35"/>
      <c r="D1" s="35"/>
      <c r="E1" s="35"/>
    </row>
    <row r="2" spans="1:5">
      <c r="A2" s="39" t="s">
        <v>1</v>
      </c>
      <c r="B2" s="35"/>
      <c r="C2" s="35"/>
      <c r="D2" s="35"/>
      <c r="E2" s="35"/>
    </row>
    <row r="3" spans="1: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>
      <c r="A4" s="36" t="s">
        <v>7</v>
      </c>
      <c r="B4" s="35"/>
      <c r="C4" s="35"/>
      <c r="D4" s="35"/>
      <c r="E4" s="35"/>
    </row>
    <row r="5" spans="1:5" ht="25.5">
      <c r="A5" s="2">
        <v>1</v>
      </c>
      <c r="B5" s="3" t="s">
        <v>8</v>
      </c>
      <c r="C5" s="4" t="s">
        <v>9</v>
      </c>
      <c r="D5" s="5" t="s">
        <v>47</v>
      </c>
      <c r="E5" s="6" t="s">
        <v>46</v>
      </c>
    </row>
    <row r="6" spans="1:5" ht="25.5">
      <c r="A6" s="2">
        <v>2</v>
      </c>
      <c r="B6" s="3" t="s">
        <v>10</v>
      </c>
      <c r="C6" s="4" t="s">
        <v>9</v>
      </c>
      <c r="D6" s="5" t="s">
        <v>47</v>
      </c>
      <c r="E6" s="6"/>
    </row>
    <row r="7" spans="1:5" ht="25.5">
      <c r="A7" s="2">
        <v>3</v>
      </c>
      <c r="B7" s="3" t="s">
        <v>11</v>
      </c>
      <c r="C7" s="4" t="s">
        <v>9</v>
      </c>
      <c r="D7" s="5" t="s">
        <v>47</v>
      </c>
      <c r="E7" s="6"/>
    </row>
    <row r="8" spans="1:5" ht="25.5">
      <c r="A8" s="2">
        <v>4</v>
      </c>
      <c r="B8" s="3" t="s">
        <v>12</v>
      </c>
      <c r="C8" s="4" t="s">
        <v>9</v>
      </c>
      <c r="D8" s="5" t="s">
        <v>47</v>
      </c>
      <c r="E8" s="6"/>
    </row>
    <row r="9" spans="1:5" ht="38.25">
      <c r="A9" s="2">
        <v>5</v>
      </c>
      <c r="B9" s="3" t="s">
        <v>13</v>
      </c>
      <c r="C9" s="4" t="s">
        <v>9</v>
      </c>
      <c r="D9" s="5" t="s">
        <v>47</v>
      </c>
      <c r="E9" s="6"/>
    </row>
    <row r="10" spans="1:5" ht="25.5">
      <c r="A10" s="2">
        <v>6</v>
      </c>
      <c r="B10" s="3" t="s">
        <v>14</v>
      </c>
      <c r="C10" s="4" t="s">
        <v>9</v>
      </c>
      <c r="D10" s="5" t="s">
        <v>47</v>
      </c>
      <c r="E10" s="6"/>
    </row>
    <row r="11" spans="1:5" ht="25.5">
      <c r="A11" s="2">
        <v>7</v>
      </c>
      <c r="B11" s="3" t="s">
        <v>15</v>
      </c>
      <c r="C11" s="4" t="s">
        <v>9</v>
      </c>
      <c r="D11" s="5" t="s">
        <v>47</v>
      </c>
      <c r="E11" s="6"/>
    </row>
    <row r="12" spans="1:5" ht="38.25">
      <c r="A12" s="2">
        <v>8</v>
      </c>
      <c r="B12" s="3" t="s">
        <v>16</v>
      </c>
      <c r="C12" s="4" t="s">
        <v>9</v>
      </c>
      <c r="D12" s="5" t="s">
        <v>47</v>
      </c>
      <c r="E12" s="6"/>
    </row>
    <row r="13" spans="1:5">
      <c r="A13" s="36" t="s">
        <v>17</v>
      </c>
      <c r="B13" s="35"/>
      <c r="C13" s="35"/>
      <c r="D13" s="35"/>
      <c r="E13" s="35"/>
    </row>
    <row r="14" spans="1:5" ht="25.5">
      <c r="A14" s="7">
        <v>9</v>
      </c>
      <c r="B14" s="8" t="s">
        <v>18</v>
      </c>
      <c r="C14" s="9" t="s">
        <v>19</v>
      </c>
      <c r="D14" s="5" t="s">
        <v>47</v>
      </c>
      <c r="E14" s="6" t="s">
        <v>49</v>
      </c>
    </row>
    <row r="15" spans="1:5" ht="25.5">
      <c r="A15" s="7">
        <v>10</v>
      </c>
      <c r="B15" s="8" t="s">
        <v>20</v>
      </c>
      <c r="C15" s="9" t="s">
        <v>19</v>
      </c>
      <c r="D15" s="5" t="s">
        <v>47</v>
      </c>
      <c r="E15" s="6" t="s">
        <v>49</v>
      </c>
    </row>
    <row r="16" spans="1:5" ht="25.5">
      <c r="A16" s="7">
        <v>11</v>
      </c>
      <c r="B16" s="8" t="s">
        <v>21</v>
      </c>
      <c r="C16" s="9" t="s">
        <v>19</v>
      </c>
      <c r="D16" s="5" t="s">
        <v>47</v>
      </c>
      <c r="E16" s="6" t="s">
        <v>49</v>
      </c>
    </row>
    <row r="17" spans="1:5" ht="25.5">
      <c r="A17" s="7">
        <v>12</v>
      </c>
      <c r="B17" s="8" t="s">
        <v>22</v>
      </c>
      <c r="C17" s="9" t="s">
        <v>19</v>
      </c>
      <c r="D17" s="5" t="s">
        <v>47</v>
      </c>
      <c r="E17" s="6" t="s">
        <v>49</v>
      </c>
    </row>
    <row r="18" spans="1:5" ht="25.5">
      <c r="A18" s="7">
        <v>13</v>
      </c>
      <c r="B18" s="8" t="s">
        <v>23</v>
      </c>
      <c r="C18" s="9" t="s">
        <v>19</v>
      </c>
      <c r="D18" s="5" t="s">
        <v>47</v>
      </c>
      <c r="E18" s="6" t="s">
        <v>49</v>
      </c>
    </row>
    <row r="19" spans="1:5" ht="25.5">
      <c r="A19" s="7">
        <v>14</v>
      </c>
      <c r="B19" s="8" t="s">
        <v>24</v>
      </c>
      <c r="C19" s="9" t="s">
        <v>19</v>
      </c>
      <c r="D19" s="5" t="s">
        <v>47</v>
      </c>
      <c r="E19" s="6" t="s">
        <v>49</v>
      </c>
    </row>
    <row r="20" spans="1:5">
      <c r="A20" s="36" t="s">
        <v>25</v>
      </c>
      <c r="B20" s="35"/>
      <c r="C20" s="35"/>
      <c r="D20" s="35"/>
      <c r="E20" s="35"/>
    </row>
    <row r="21" spans="1:5" ht="25.5">
      <c r="A21" s="10">
        <v>15</v>
      </c>
      <c r="B21" s="11" t="s">
        <v>26</v>
      </c>
      <c r="C21" s="12" t="s">
        <v>27</v>
      </c>
      <c r="D21" s="5" t="s">
        <v>47</v>
      </c>
      <c r="E21" s="6"/>
    </row>
    <row r="22" spans="1:5" ht="25.5">
      <c r="A22" s="10">
        <v>16</v>
      </c>
      <c r="B22" s="11" t="s">
        <v>28</v>
      </c>
      <c r="C22" s="12" t="s">
        <v>29</v>
      </c>
      <c r="D22" s="5" t="s">
        <v>47</v>
      </c>
      <c r="E22" s="6"/>
    </row>
    <row r="23" spans="1:5" ht="25.5">
      <c r="A23" s="10">
        <v>17</v>
      </c>
      <c r="B23" s="11" t="s">
        <v>30</v>
      </c>
      <c r="C23" s="12" t="s">
        <v>29</v>
      </c>
      <c r="D23" s="5" t="s">
        <v>47</v>
      </c>
      <c r="E23" s="6" t="s">
        <v>52</v>
      </c>
    </row>
    <row r="24" spans="1:5" ht="25.5">
      <c r="A24" s="10">
        <v>18</v>
      </c>
      <c r="B24" s="11" t="s">
        <v>31</v>
      </c>
      <c r="C24" s="12" t="s">
        <v>29</v>
      </c>
      <c r="D24" s="5" t="s">
        <v>47</v>
      </c>
      <c r="E24" s="6" t="s">
        <v>52</v>
      </c>
    </row>
    <row r="25" spans="1:5">
      <c r="A25" s="10">
        <v>19</v>
      </c>
      <c r="B25" s="11" t="s">
        <v>32</v>
      </c>
      <c r="C25" s="12" t="s">
        <v>29</v>
      </c>
      <c r="D25" s="5" t="s">
        <v>47</v>
      </c>
      <c r="E25" s="6"/>
    </row>
    <row r="26" spans="1:5" ht="15.75" thickBot="1">
      <c r="A26" s="10">
        <v>32</v>
      </c>
      <c r="B26" s="11" t="s">
        <v>92</v>
      </c>
      <c r="C26" s="12" t="s">
        <v>29</v>
      </c>
      <c r="D26" s="5" t="s">
        <v>60</v>
      </c>
      <c r="E26" s="6" t="s">
        <v>70</v>
      </c>
    </row>
    <row r="27" spans="1:5" ht="15.75" thickBot="1">
      <c r="A27" s="36" t="s">
        <v>75</v>
      </c>
      <c r="B27" s="35"/>
      <c r="C27" s="35"/>
      <c r="D27" s="35"/>
      <c r="E27" s="35"/>
    </row>
    <row r="28" spans="1:5" ht="25.5">
      <c r="A28" s="30">
        <v>35</v>
      </c>
      <c r="B28" s="28" t="s">
        <v>77</v>
      </c>
      <c r="C28" s="29" t="s">
        <v>76</v>
      </c>
      <c r="D28" s="5" t="s">
        <v>60</v>
      </c>
      <c r="E28" s="6" t="s">
        <v>79</v>
      </c>
    </row>
    <row r="29" spans="1:5" ht="38.25">
      <c r="A29" s="30">
        <v>36</v>
      </c>
      <c r="B29" s="28" t="s">
        <v>78</v>
      </c>
      <c r="C29" s="29" t="s">
        <v>76</v>
      </c>
      <c r="D29" s="5" t="s">
        <v>60</v>
      </c>
      <c r="E29" s="6" t="s">
        <v>80</v>
      </c>
    </row>
    <row r="30" spans="1:5" ht="25.5">
      <c r="A30" s="30">
        <v>37</v>
      </c>
      <c r="B30" s="28" t="s">
        <v>78</v>
      </c>
      <c r="C30" s="29" t="s">
        <v>76</v>
      </c>
      <c r="D30" s="5" t="s">
        <v>60</v>
      </c>
      <c r="E30" s="6" t="s">
        <v>81</v>
      </c>
    </row>
    <row r="31" spans="1:5" ht="25.5">
      <c r="A31" s="30">
        <v>38</v>
      </c>
      <c r="B31" s="28" t="s">
        <v>78</v>
      </c>
      <c r="C31" s="29" t="s">
        <v>76</v>
      </c>
      <c r="D31" s="5" t="s">
        <v>60</v>
      </c>
      <c r="E31" s="6" t="s">
        <v>82</v>
      </c>
    </row>
    <row r="32" spans="1:5" ht="51">
      <c r="A32" s="30">
        <v>39</v>
      </c>
      <c r="B32" s="31" t="s">
        <v>86</v>
      </c>
      <c r="C32" s="29" t="s">
        <v>76</v>
      </c>
      <c r="D32" s="5" t="s">
        <v>60</v>
      </c>
      <c r="E32" s="27" t="s">
        <v>87</v>
      </c>
    </row>
    <row r="33" spans="1:5" ht="25.5">
      <c r="A33" s="30">
        <v>40</v>
      </c>
      <c r="B33" s="31" t="s">
        <v>86</v>
      </c>
      <c r="C33" s="29" t="s">
        <v>76</v>
      </c>
      <c r="D33" s="5" t="s">
        <v>60</v>
      </c>
      <c r="E33" s="27" t="s">
        <v>88</v>
      </c>
    </row>
    <row r="34" spans="1:5" ht="25.5">
      <c r="A34" s="30">
        <v>41</v>
      </c>
      <c r="B34" s="31" t="s">
        <v>86</v>
      </c>
      <c r="C34" s="29" t="s">
        <v>76</v>
      </c>
      <c r="D34" s="5" t="s">
        <v>60</v>
      </c>
      <c r="E34" s="27" t="s">
        <v>89</v>
      </c>
    </row>
    <row r="35" spans="1:5" ht="26.25" thickBot="1">
      <c r="A35" s="30">
        <v>42</v>
      </c>
      <c r="B35" s="31" t="s">
        <v>86</v>
      </c>
      <c r="C35" s="29" t="s">
        <v>76</v>
      </c>
      <c r="D35" s="5" t="s">
        <v>60</v>
      </c>
      <c r="E35" s="27" t="s">
        <v>90</v>
      </c>
    </row>
    <row r="36" spans="1:5" ht="15.75" thickBot="1">
      <c r="A36" s="36" t="s">
        <v>98</v>
      </c>
      <c r="B36" s="35"/>
      <c r="C36" s="35"/>
      <c r="D36" s="35"/>
      <c r="E36" s="35"/>
    </row>
    <row r="37" spans="1:5" ht="51">
      <c r="A37" s="40">
        <v>43</v>
      </c>
      <c r="B37" s="41" t="s">
        <v>99</v>
      </c>
      <c r="C37" s="42" t="s">
        <v>104</v>
      </c>
      <c r="D37" s="5" t="s">
        <v>60</v>
      </c>
      <c r="E37" s="6" t="s">
        <v>106</v>
      </c>
    </row>
    <row r="38" spans="1:5" ht="38.25">
      <c r="A38" s="40">
        <v>44</v>
      </c>
      <c r="B38" s="41" t="s">
        <v>100</v>
      </c>
      <c r="C38" s="42" t="s">
        <v>104</v>
      </c>
      <c r="D38" s="5" t="s">
        <v>60</v>
      </c>
      <c r="E38" s="6" t="s">
        <v>107</v>
      </c>
    </row>
    <row r="39" spans="1:5" ht="51">
      <c r="A39" s="40">
        <v>45</v>
      </c>
      <c r="B39" s="41" t="s">
        <v>101</v>
      </c>
      <c r="C39" s="42" t="s">
        <v>104</v>
      </c>
      <c r="D39" s="5" t="s">
        <v>60</v>
      </c>
      <c r="E39" s="6" t="s">
        <v>108</v>
      </c>
    </row>
    <row r="40" spans="1:5" ht="51">
      <c r="A40" s="40">
        <v>46</v>
      </c>
      <c r="B40" s="41" t="s">
        <v>102</v>
      </c>
      <c r="C40" s="42" t="s">
        <v>104</v>
      </c>
      <c r="D40" s="5" t="s">
        <v>60</v>
      </c>
      <c r="E40" s="6" t="s">
        <v>109</v>
      </c>
    </row>
    <row r="41" spans="1:5" ht="64.5" thickBot="1">
      <c r="A41" s="40">
        <v>47</v>
      </c>
      <c r="B41" s="43" t="s">
        <v>103</v>
      </c>
      <c r="C41" s="42" t="s">
        <v>105</v>
      </c>
      <c r="D41" s="5" t="s">
        <v>60</v>
      </c>
      <c r="E41" s="27" t="s">
        <v>110</v>
      </c>
    </row>
    <row r="42" spans="1:5" ht="15.75" thickBot="1">
      <c r="A42" s="36" t="s">
        <v>33</v>
      </c>
      <c r="B42" s="35"/>
      <c r="C42" s="35"/>
      <c r="D42" s="35"/>
      <c r="E42" s="35"/>
    </row>
    <row r="43" spans="1:5" ht="25.5">
      <c r="A43" s="13">
        <v>20</v>
      </c>
      <c r="B43" s="14" t="s">
        <v>34</v>
      </c>
      <c r="C43" s="15" t="s">
        <v>35</v>
      </c>
      <c r="D43" s="5" t="s">
        <v>48</v>
      </c>
      <c r="E43" s="6" t="s">
        <v>83</v>
      </c>
    </row>
    <row r="44" spans="1:5">
      <c r="A44" s="13">
        <v>21</v>
      </c>
      <c r="B44" s="14" t="s">
        <v>36</v>
      </c>
      <c r="C44" s="15" t="s">
        <v>35</v>
      </c>
      <c r="D44" s="5" t="s">
        <v>48</v>
      </c>
      <c r="E44" s="6" t="s">
        <v>83</v>
      </c>
    </row>
    <row r="45" spans="1:5" ht="25.5">
      <c r="A45" s="16">
        <v>22</v>
      </c>
      <c r="B45" s="17" t="s">
        <v>37</v>
      </c>
      <c r="C45" s="18" t="s">
        <v>38</v>
      </c>
      <c r="D45" s="5" t="s">
        <v>48</v>
      </c>
      <c r="E45" s="6" t="s">
        <v>84</v>
      </c>
    </row>
    <row r="46" spans="1:5" ht="25.5">
      <c r="A46" s="19">
        <v>23</v>
      </c>
      <c r="B46" s="20" t="s">
        <v>39</v>
      </c>
      <c r="C46" s="21" t="s">
        <v>40</v>
      </c>
      <c r="D46" s="5" t="s">
        <v>47</v>
      </c>
      <c r="E46" s="6"/>
    </row>
    <row r="47" spans="1:5">
      <c r="A47" s="22">
        <v>24</v>
      </c>
      <c r="B47" s="23" t="s">
        <v>41</v>
      </c>
      <c r="C47" s="24" t="s">
        <v>42</v>
      </c>
      <c r="D47" s="5" t="s">
        <v>47</v>
      </c>
      <c r="E47" s="6" t="s">
        <v>85</v>
      </c>
    </row>
    <row r="48" spans="1:5">
      <c r="A48" s="22">
        <v>25</v>
      </c>
      <c r="B48" s="23" t="s">
        <v>50</v>
      </c>
      <c r="C48" s="24" t="s">
        <v>51</v>
      </c>
      <c r="D48" s="5" t="s">
        <v>47</v>
      </c>
    </row>
    <row r="49" spans="1:5" ht="30">
      <c r="A49" s="22">
        <v>26</v>
      </c>
      <c r="B49" s="23" t="s">
        <v>54</v>
      </c>
      <c r="C49" s="24" t="s">
        <v>51</v>
      </c>
      <c r="D49" s="5" t="s">
        <v>60</v>
      </c>
      <c r="E49" s="32" t="s">
        <v>55</v>
      </c>
    </row>
    <row r="50" spans="1:5">
      <c r="A50" s="22">
        <v>27</v>
      </c>
      <c r="B50" s="23" t="s">
        <v>56</v>
      </c>
      <c r="C50" s="24" t="s">
        <v>51</v>
      </c>
      <c r="D50" s="5" t="s">
        <v>60</v>
      </c>
      <c r="E50" s="32" t="s">
        <v>57</v>
      </c>
    </row>
    <row r="51" spans="1:5" ht="45">
      <c r="A51" s="22">
        <v>28</v>
      </c>
      <c r="B51" s="23" t="s">
        <v>58</v>
      </c>
      <c r="C51" s="24" t="s">
        <v>59</v>
      </c>
      <c r="D51" s="5" t="s">
        <v>60</v>
      </c>
      <c r="E51" s="32" t="s">
        <v>61</v>
      </c>
    </row>
    <row r="52" spans="1:5" ht="30">
      <c r="A52" s="22">
        <v>29</v>
      </c>
      <c r="B52" s="23" t="s">
        <v>63</v>
      </c>
      <c r="C52" s="24" t="s">
        <v>62</v>
      </c>
      <c r="D52" s="5" t="s">
        <v>60</v>
      </c>
      <c r="E52" s="32" t="s">
        <v>64</v>
      </c>
    </row>
    <row r="53" spans="1:5" ht="30">
      <c r="A53" s="22">
        <v>30</v>
      </c>
      <c r="B53" s="23" t="s">
        <v>65</v>
      </c>
      <c r="C53" s="24" t="s">
        <v>66</v>
      </c>
      <c r="D53" s="5" t="s">
        <v>60</v>
      </c>
      <c r="E53" s="32" t="s">
        <v>67</v>
      </c>
    </row>
    <row r="54" spans="1:5" ht="30">
      <c r="A54" s="22">
        <v>31</v>
      </c>
      <c r="B54" s="23" t="s">
        <v>68</v>
      </c>
      <c r="C54" s="24" t="s">
        <v>66</v>
      </c>
      <c r="D54" s="5" t="s">
        <v>60</v>
      </c>
      <c r="E54" s="32" t="s">
        <v>69</v>
      </c>
    </row>
    <row r="55" spans="1:5" ht="30">
      <c r="A55" s="22">
        <v>33</v>
      </c>
      <c r="B55" s="23" t="s">
        <v>71</v>
      </c>
      <c r="C55" s="24" t="s">
        <v>66</v>
      </c>
      <c r="D55" s="5" t="s">
        <v>60</v>
      </c>
      <c r="E55" s="32" t="s">
        <v>72</v>
      </c>
    </row>
    <row r="56" spans="1:5" ht="90">
      <c r="A56" s="22">
        <v>34</v>
      </c>
      <c r="B56" s="23" t="s">
        <v>74</v>
      </c>
      <c r="C56" s="24" t="s">
        <v>51</v>
      </c>
      <c r="D56" s="5" t="s">
        <v>60</v>
      </c>
      <c r="E56" s="32" t="s">
        <v>73</v>
      </c>
    </row>
    <row r="57" spans="1:5">
      <c r="A57" s="37" t="s">
        <v>43</v>
      </c>
      <c r="B57" s="38"/>
      <c r="C57" s="38"/>
      <c r="D57" s="25">
        <f>COUNTIF(D$4:D$56,"PASS")</f>
        <v>22</v>
      </c>
      <c r="E57" s="33"/>
    </row>
    <row r="58" spans="1:5">
      <c r="A58" s="37" t="s">
        <v>44</v>
      </c>
      <c r="B58" s="38"/>
      <c r="C58" s="38"/>
      <c r="D58" s="25">
        <f>COUNTIF(D$4:D$56,"FAIL")</f>
        <v>3</v>
      </c>
      <c r="E58" s="33"/>
    </row>
    <row r="59" spans="1:5">
      <c r="A59" s="37" t="s">
        <v>53</v>
      </c>
      <c r="B59" s="38"/>
      <c r="C59" s="38"/>
      <c r="D59" s="25">
        <f>COUNTIF(D$4:D$56,"Skip")</f>
        <v>0</v>
      </c>
      <c r="E59" s="33"/>
    </row>
    <row r="60" spans="1:5">
      <c r="A60" s="37" t="s">
        <v>91</v>
      </c>
      <c r="B60" s="38"/>
      <c r="C60" s="38"/>
      <c r="D60" s="25">
        <f>COUNTIF(D$4:D$56,"Requirement")</f>
        <v>22</v>
      </c>
      <c r="E60" s="33"/>
    </row>
    <row r="61" spans="1:5">
      <c r="A61" s="37" t="s">
        <v>45</v>
      </c>
      <c r="B61" s="38"/>
      <c r="C61" s="38"/>
      <c r="D61" s="26">
        <f>COUNTBLANK(D$4:D$56)-6</f>
        <v>0</v>
      </c>
      <c r="E61" s="33"/>
    </row>
    <row r="71" spans="1:1">
      <c r="A71" t="s">
        <v>93</v>
      </c>
    </row>
    <row r="73" spans="1:1">
      <c r="A73" t="s">
        <v>94</v>
      </c>
    </row>
    <row r="75" spans="1:1">
      <c r="A75" t="s">
        <v>95</v>
      </c>
    </row>
    <row r="77" spans="1:1">
      <c r="A77" t="s">
        <v>96</v>
      </c>
    </row>
    <row r="79" spans="1:1">
      <c r="A79" t="s">
        <v>97</v>
      </c>
    </row>
  </sheetData>
  <mergeCells count="13">
    <mergeCell ref="A1:E1"/>
    <mergeCell ref="A13:E13"/>
    <mergeCell ref="A58:C58"/>
    <mergeCell ref="A61:C61"/>
    <mergeCell ref="A59:C59"/>
    <mergeCell ref="A27:E27"/>
    <mergeCell ref="A60:C60"/>
    <mergeCell ref="A4:E4"/>
    <mergeCell ref="A57:C57"/>
    <mergeCell ref="A20:E20"/>
    <mergeCell ref="A42:E42"/>
    <mergeCell ref="A2:E2"/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6 Testing 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 Mishory</cp:lastModifiedBy>
  <dcterms:created xsi:type="dcterms:W3CDTF">2026-03-15T20:19:26Z</dcterms:created>
  <dcterms:modified xsi:type="dcterms:W3CDTF">2026-03-17T03:22:01Z</dcterms:modified>
</cp:coreProperties>
</file>